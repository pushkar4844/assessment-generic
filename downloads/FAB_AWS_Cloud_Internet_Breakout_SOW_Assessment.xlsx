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4f99be3a02b696a2/Desktop/assessment/"/>
    </mc:Choice>
  </mc:AlternateContent>
  <xr:revisionPtr revIDLastSave="0" documentId="11_775A30C89501A6A1F7988537937CB2A883A193AE" xr6:coauthVersionLast="47" xr6:coauthVersionMax="47" xr10:uidLastSave="{00000000-0000-0000-0000-000000000000}"/>
  <bookViews>
    <workbookView xWindow="-110" yWindow="-110" windowWidth="19420" windowHeight="11500" xr2:uid="{00000000-000D-0000-FFFF-FFFF00000000}"/>
  </bookViews>
  <sheets>
    <sheet name="Cover &amp; Instructions" sheetId="1" r:id="rId1"/>
    <sheet name="SOW Traceability" sheetId="2" r:id="rId2"/>
    <sheet name="Architecture Review" sheetId="3" r:id="rId3"/>
    <sheet name="Traffic Flow Validation" sheetId="4" r:id="rId4"/>
    <sheet name="Traffic Flow Matrix" sheetId="5" r:id="rId5"/>
    <sheet name="HA &amp; Resilience" sheetId="6" r:id="rId6"/>
    <sheet name="UAT Failover Scenarios" sheetId="7" r:id="rId7"/>
    <sheet name="Third-Party Integration" sheetId="8" r:id="rId8"/>
    <sheet name="Migration &amp; Cutover" sheetId="9" r:id="rId9"/>
    <sheet name="Go-NoGo Criteria" sheetId="10" r:id="rId10"/>
    <sheet name="Integration Risk Register" sheetId="11" r:id="rId11"/>
    <sheet name="Findings &amp; Remediation" sheetId="12" r:id="rId12"/>
    <sheet name="Deliverables Tracker" sheetId="13" r:id="rId13"/>
    <sheet name="Executive Dashboard" sheetId="14" r:id="rId14"/>
  </sheets>
  <definedNames>
    <definedName name="_xlnm._FilterDatabase" localSheetId="11" hidden="1">'Findings &amp; Remediation'!$A$4:$U$64</definedName>
    <definedName name="_xlnm._FilterDatabase" localSheetId="10" hidden="1">'Integration Risk Register'!$A$4:$O$40</definedName>
    <definedName name="_xlnm._FilterDatabase" localSheetId="4" hidden="1">'Traffic Flow Matrix'!$A$4:$M$28</definedName>
    <definedName name="_xlnm._FilterDatabase" localSheetId="6" hidden="1">'UAT Failover Scenarios'!$A$4:$N$26</definedName>
    <definedName name="AMBER_MAX">'Cover &amp; Instructions'!$C$36</definedName>
    <definedName name="_xlnm.Print_Titles" localSheetId="2">'Architecture Review'!$4:$4</definedName>
    <definedName name="_xlnm.Print_Titles" localSheetId="12">'Deliverables Tracker'!$4:$4</definedName>
    <definedName name="_xlnm.Print_Titles" localSheetId="11">'Findings &amp; Remediation'!$4:$4</definedName>
    <definedName name="_xlnm.Print_Titles" localSheetId="9">'Go-NoGo Criteria'!$6:$6</definedName>
    <definedName name="_xlnm.Print_Titles" localSheetId="5">'HA &amp; Resilience'!$4:$4</definedName>
    <definedName name="_xlnm.Print_Titles" localSheetId="10">'Integration Risk Register'!$4:$4</definedName>
    <definedName name="_xlnm.Print_Titles" localSheetId="8">'Migration &amp; Cutover'!$4:$4</definedName>
    <definedName name="_xlnm.Print_Titles" localSheetId="1">'SOW Traceability'!$4:$4</definedName>
    <definedName name="_xlnm.Print_Titles" localSheetId="7">'Third-Party Integration'!$4:$4</definedName>
    <definedName name="_xlnm.Print_Titles" localSheetId="4">'Traffic Flow Matrix'!$4:$4</definedName>
    <definedName name="_xlnm.Print_Titles" localSheetId="3">'Traffic Flow Validation'!$4:$4</definedName>
    <definedName name="_xlnm.Print_Titles" localSheetId="6">'UAT Failover Scenarios'!$4:$4</definedName>
    <definedName name="RED_MAX">'Cover &amp; Instructions'!$C$35</definedName>
    <definedName name="RISK_CRIT">'Cover &amp; Instructions'!$C$37</definedName>
    <definedName name="RISK_HIGH">'Cover &amp; Instructions'!$C$38</definedName>
    <definedName name="RISK_MED">'Cover &amp; Instructions'!$C$39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7" i="14" l="1"/>
  <c r="C55" i="14"/>
  <c r="C54" i="14"/>
  <c r="C53" i="14"/>
  <c r="C52" i="14"/>
  <c r="C51" i="14"/>
  <c r="J50" i="14"/>
  <c r="C50" i="14"/>
  <c r="J49" i="14"/>
  <c r="J48" i="14"/>
  <c r="C48" i="14"/>
  <c r="J47" i="14"/>
  <c r="J46" i="14"/>
  <c r="C46" i="14"/>
  <c r="C45" i="14"/>
  <c r="C44" i="14"/>
  <c r="C39" i="14"/>
  <c r="C11" i="14"/>
  <c r="L10" i="14"/>
  <c r="K10" i="14"/>
  <c r="J10" i="14"/>
  <c r="F10" i="14"/>
  <c r="G10" i="14" s="1"/>
  <c r="E10" i="14"/>
  <c r="C10" i="14"/>
  <c r="D10" i="14" s="1"/>
  <c r="L9" i="14"/>
  <c r="K9" i="14"/>
  <c r="J9" i="14"/>
  <c r="F9" i="14"/>
  <c r="G9" i="14" s="1"/>
  <c r="E9" i="14"/>
  <c r="C9" i="14"/>
  <c r="D9" i="14" s="1"/>
  <c r="F8" i="14"/>
  <c r="G8" i="14" s="1"/>
  <c r="E8" i="14"/>
  <c r="C8" i="14"/>
  <c r="D8" i="14" s="1"/>
  <c r="L7" i="14"/>
  <c r="K7" i="14"/>
  <c r="J7" i="14"/>
  <c r="F7" i="14"/>
  <c r="G7" i="14" s="1"/>
  <c r="E7" i="14"/>
  <c r="C7" i="14"/>
  <c r="D7" i="14" s="1"/>
  <c r="L6" i="14"/>
  <c r="K6" i="14"/>
  <c r="J6" i="14"/>
  <c r="F6" i="14"/>
  <c r="E6" i="14"/>
  <c r="E11" i="14" s="1"/>
  <c r="C34" i="14" s="1"/>
  <c r="C6" i="14"/>
  <c r="D6" i="14" s="1"/>
  <c r="D18" i="13"/>
  <c r="D16" i="13"/>
  <c r="J64" i="12"/>
  <c r="J63" i="12"/>
  <c r="J62" i="12"/>
  <c r="J61" i="12"/>
  <c r="J60" i="12"/>
  <c r="J59" i="12"/>
  <c r="J58" i="12"/>
  <c r="J57" i="12"/>
  <c r="J56" i="12"/>
  <c r="J55" i="12"/>
  <c r="J54" i="12"/>
  <c r="J53" i="12"/>
  <c r="J52" i="12"/>
  <c r="J51" i="12"/>
  <c r="J50" i="12"/>
  <c r="J49" i="12"/>
  <c r="J48" i="12"/>
  <c r="J47" i="12"/>
  <c r="J46" i="12"/>
  <c r="J45" i="12"/>
  <c r="J44" i="12"/>
  <c r="J43" i="12"/>
  <c r="J42" i="12"/>
  <c r="J41" i="12"/>
  <c r="J40" i="12"/>
  <c r="J39" i="12"/>
  <c r="J38" i="12"/>
  <c r="J37" i="12"/>
  <c r="J36" i="12"/>
  <c r="J35" i="12"/>
  <c r="J34" i="12"/>
  <c r="J33" i="12"/>
  <c r="J32" i="12"/>
  <c r="J31" i="12"/>
  <c r="J30" i="12"/>
  <c r="J29" i="12"/>
  <c r="J28" i="12"/>
  <c r="J27" i="12"/>
  <c r="J26" i="12"/>
  <c r="J25" i="12"/>
  <c r="J24" i="12"/>
  <c r="J23" i="12"/>
  <c r="J22" i="12"/>
  <c r="J21" i="12"/>
  <c r="J20" i="12"/>
  <c r="J19" i="12"/>
  <c r="J18" i="12"/>
  <c r="J17" i="12"/>
  <c r="J16" i="12"/>
  <c r="J15" i="12"/>
  <c r="J14" i="12"/>
  <c r="J13" i="12"/>
  <c r="J12" i="12"/>
  <c r="J11" i="12"/>
  <c r="J10" i="12"/>
  <c r="J9" i="12"/>
  <c r="J8" i="12"/>
  <c r="J7" i="12"/>
  <c r="J6" i="12"/>
  <c r="J5" i="12"/>
  <c r="H40" i="11"/>
  <c r="I40" i="11" s="1"/>
  <c r="H39" i="11"/>
  <c r="I39" i="11" s="1"/>
  <c r="H38" i="11"/>
  <c r="I38" i="11" s="1"/>
  <c r="H37" i="11"/>
  <c r="I37" i="11" s="1"/>
  <c r="H36" i="11"/>
  <c r="I36" i="11" s="1"/>
  <c r="H35" i="11"/>
  <c r="I35" i="11" s="1"/>
  <c r="H34" i="11"/>
  <c r="I34" i="11" s="1"/>
  <c r="H33" i="11"/>
  <c r="I33" i="11" s="1"/>
  <c r="H32" i="11"/>
  <c r="I32" i="11" s="1"/>
  <c r="H31" i="11"/>
  <c r="I31" i="11" s="1"/>
  <c r="H30" i="11"/>
  <c r="I30" i="11" s="1"/>
  <c r="H29" i="11"/>
  <c r="I29" i="11" s="1"/>
  <c r="H28" i="11"/>
  <c r="I28" i="11" s="1"/>
  <c r="H27" i="11"/>
  <c r="I27" i="11" s="1"/>
  <c r="H26" i="11"/>
  <c r="I26" i="11" s="1"/>
  <c r="H25" i="11"/>
  <c r="I25" i="11" s="1"/>
  <c r="H24" i="11"/>
  <c r="I24" i="11" s="1"/>
  <c r="H23" i="11"/>
  <c r="I23" i="11" s="1"/>
  <c r="H22" i="11"/>
  <c r="I22" i="11" s="1"/>
  <c r="H21" i="11"/>
  <c r="I21" i="11" s="1"/>
  <c r="H20" i="11"/>
  <c r="I20" i="11" s="1"/>
  <c r="H19" i="11"/>
  <c r="I19" i="11" s="1"/>
  <c r="H18" i="11"/>
  <c r="I18" i="11" s="1"/>
  <c r="H17" i="11"/>
  <c r="I17" i="11" s="1"/>
  <c r="H16" i="11"/>
  <c r="I16" i="11" s="1"/>
  <c r="H15" i="11"/>
  <c r="I15" i="11" s="1"/>
  <c r="H14" i="11"/>
  <c r="I14" i="11" s="1"/>
  <c r="H13" i="11"/>
  <c r="I13" i="11" s="1"/>
  <c r="H12" i="11"/>
  <c r="I12" i="11" s="1"/>
  <c r="H11" i="11"/>
  <c r="I11" i="11" s="1"/>
  <c r="H10" i="11"/>
  <c r="I10" i="11" s="1"/>
  <c r="H9" i="11"/>
  <c r="I9" i="11" s="1"/>
  <c r="H8" i="11"/>
  <c r="I8" i="11" s="1"/>
  <c r="H7" i="11"/>
  <c r="I7" i="11" s="1"/>
  <c r="H6" i="11"/>
  <c r="I6" i="11" s="1"/>
  <c r="H5" i="11"/>
  <c r="I5" i="11" s="1"/>
  <c r="G13" i="10"/>
  <c r="G10" i="10"/>
  <c r="D4" i="10"/>
  <c r="C4" i="10"/>
  <c r="C56" i="14" s="1"/>
  <c r="H36" i="9"/>
  <c r="H35" i="9"/>
  <c r="H34" i="9"/>
  <c r="H33" i="9"/>
  <c r="H31" i="9"/>
  <c r="H30" i="9"/>
  <c r="H29" i="9"/>
  <c r="H28" i="9"/>
  <c r="H26" i="9"/>
  <c r="H25" i="9"/>
  <c r="H24" i="9"/>
  <c r="H23" i="9"/>
  <c r="H22" i="9"/>
  <c r="H21" i="9"/>
  <c r="H19" i="9"/>
  <c r="H18" i="9"/>
  <c r="H17" i="9"/>
  <c r="H16" i="9"/>
  <c r="H15" i="9"/>
  <c r="H13" i="9"/>
  <c r="H12" i="9"/>
  <c r="H11" i="9"/>
  <c r="H10" i="9"/>
  <c r="H9" i="9"/>
  <c r="H8" i="9"/>
  <c r="H7" i="9"/>
  <c r="H6" i="9"/>
  <c r="H37" i="8"/>
  <c r="H36" i="8"/>
  <c r="H35" i="8"/>
  <c r="H34" i="8"/>
  <c r="H33" i="8"/>
  <c r="H32" i="8"/>
  <c r="H31" i="8"/>
  <c r="H30" i="8"/>
  <c r="H29" i="8"/>
  <c r="H28" i="8"/>
  <c r="H26" i="8"/>
  <c r="H25" i="8"/>
  <c r="H24" i="8"/>
  <c r="H23" i="8"/>
  <c r="H22" i="8"/>
  <c r="H20" i="8"/>
  <c r="H19" i="8"/>
  <c r="H18" i="8"/>
  <c r="H17" i="8"/>
  <c r="H16" i="8"/>
  <c r="H15" i="8"/>
  <c r="H13" i="8"/>
  <c r="H12" i="8"/>
  <c r="H11" i="8"/>
  <c r="H10" i="8"/>
  <c r="H9" i="8"/>
  <c r="H8" i="8"/>
  <c r="H7" i="8"/>
  <c r="H6" i="8"/>
  <c r="I26" i="7"/>
  <c r="I25" i="7"/>
  <c r="I24" i="7"/>
  <c r="I23" i="7"/>
  <c r="I22" i="7"/>
  <c r="I21" i="7"/>
  <c r="I20" i="7"/>
  <c r="I19" i="7"/>
  <c r="I18" i="7"/>
  <c r="I17" i="7"/>
  <c r="I16" i="7"/>
  <c r="I15" i="7"/>
  <c r="I14" i="7"/>
  <c r="I13" i="7"/>
  <c r="I12" i="7"/>
  <c r="I11" i="7"/>
  <c r="I10" i="7"/>
  <c r="I9" i="7"/>
  <c r="I8" i="7"/>
  <c r="I7" i="7"/>
  <c r="I6" i="7"/>
  <c r="I5" i="7"/>
  <c r="H38" i="6"/>
  <c r="H37" i="6"/>
  <c r="H36" i="6"/>
  <c r="H35" i="6"/>
  <c r="H34" i="6"/>
  <c r="H33" i="6"/>
  <c r="H31" i="6"/>
  <c r="H30" i="6"/>
  <c r="H29" i="6"/>
  <c r="H28" i="6"/>
  <c r="H26" i="6"/>
  <c r="H25" i="6"/>
  <c r="H24" i="6"/>
  <c r="H23" i="6"/>
  <c r="H22" i="6"/>
  <c r="H20" i="6"/>
  <c r="H19" i="6"/>
  <c r="H18" i="6"/>
  <c r="H17" i="6"/>
  <c r="H16" i="6"/>
  <c r="H15" i="6"/>
  <c r="H14" i="6"/>
  <c r="H13" i="6"/>
  <c r="H11" i="6"/>
  <c r="H10" i="6"/>
  <c r="H9" i="6"/>
  <c r="H8" i="6"/>
  <c r="H7" i="6"/>
  <c r="H6" i="6"/>
  <c r="L8" i="14" s="1"/>
  <c r="L11" i="14" s="1"/>
  <c r="H43" i="4"/>
  <c r="H42" i="4"/>
  <c r="H41" i="4"/>
  <c r="H40" i="4"/>
  <c r="H38" i="4"/>
  <c r="H37" i="4"/>
  <c r="H36" i="4"/>
  <c r="H34" i="4"/>
  <c r="H33" i="4"/>
  <c r="H32" i="4"/>
  <c r="H30" i="4"/>
  <c r="H29" i="4"/>
  <c r="H28" i="4"/>
  <c r="H27" i="4"/>
  <c r="H26" i="4"/>
  <c r="H24" i="4"/>
  <c r="H23" i="4"/>
  <c r="H21" i="4"/>
  <c r="H20" i="4"/>
  <c r="H19" i="4"/>
  <c r="H18" i="4"/>
  <c r="H16" i="4"/>
  <c r="H15" i="4"/>
  <c r="H14" i="4"/>
  <c r="H13" i="4"/>
  <c r="H12" i="4"/>
  <c r="H10" i="4"/>
  <c r="H9" i="4"/>
  <c r="H8" i="4"/>
  <c r="H7" i="4"/>
  <c r="H6" i="4"/>
  <c r="H54" i="3"/>
  <c r="H53" i="3"/>
  <c r="H52" i="3"/>
  <c r="H51" i="3"/>
  <c r="H50" i="3"/>
  <c r="H48" i="3"/>
  <c r="H47" i="3"/>
  <c r="H46" i="3"/>
  <c r="H45" i="3"/>
  <c r="H44" i="3"/>
  <c r="H43" i="3"/>
  <c r="H41" i="3"/>
  <c r="H40" i="3"/>
  <c r="H39" i="3"/>
  <c r="H38" i="3"/>
  <c r="H37" i="3"/>
  <c r="H36" i="3"/>
  <c r="H34" i="3"/>
  <c r="H33" i="3"/>
  <c r="H32" i="3"/>
  <c r="H31" i="3"/>
  <c r="H30" i="3"/>
  <c r="H28" i="3"/>
  <c r="H27" i="3"/>
  <c r="H26" i="3"/>
  <c r="H25" i="3"/>
  <c r="H24" i="3"/>
  <c r="H23" i="3"/>
  <c r="H22" i="3"/>
  <c r="H21" i="3"/>
  <c r="H20" i="3"/>
  <c r="H18" i="3"/>
  <c r="H17" i="3"/>
  <c r="H16" i="3"/>
  <c r="H15" i="3"/>
  <c r="H14" i="3"/>
  <c r="H13" i="3"/>
  <c r="H11" i="3"/>
  <c r="H10" i="3"/>
  <c r="H9" i="3"/>
  <c r="H8" i="3"/>
  <c r="H7" i="3"/>
  <c r="H6" i="3"/>
  <c r="C38" i="14" s="1"/>
  <c r="J32" i="2"/>
  <c r="G31" i="2"/>
  <c r="F31" i="2"/>
  <c r="E31" i="2"/>
  <c r="G30" i="2"/>
  <c r="F30" i="2"/>
  <c r="E30" i="2"/>
  <c r="G29" i="2"/>
  <c r="F29" i="2"/>
  <c r="E29" i="2"/>
  <c r="G28" i="2"/>
  <c r="F28" i="2"/>
  <c r="E28" i="2"/>
  <c r="G27" i="2"/>
  <c r="F27" i="2"/>
  <c r="E27" i="2"/>
  <c r="G26" i="2"/>
  <c r="F26" i="2"/>
  <c r="E26" i="2"/>
  <c r="G25" i="2"/>
  <c r="F25" i="2"/>
  <c r="E25" i="2"/>
  <c r="G24" i="2"/>
  <c r="F24" i="2"/>
  <c r="E24" i="2"/>
  <c r="G23" i="2"/>
  <c r="F23" i="2"/>
  <c r="E23" i="2"/>
  <c r="G22" i="2"/>
  <c r="F22" i="2"/>
  <c r="E22" i="2"/>
  <c r="G21" i="2"/>
  <c r="F21" i="2"/>
  <c r="E21" i="2"/>
  <c r="G20" i="2"/>
  <c r="F20" i="2"/>
  <c r="E20" i="2"/>
  <c r="G19" i="2"/>
  <c r="F19" i="2"/>
  <c r="E19" i="2"/>
  <c r="G18" i="2"/>
  <c r="F18" i="2"/>
  <c r="E18" i="2"/>
  <c r="G17" i="2"/>
  <c r="F17" i="2"/>
  <c r="E17" i="2"/>
  <c r="G16" i="2"/>
  <c r="F16" i="2"/>
  <c r="E16" i="2"/>
  <c r="G15" i="2"/>
  <c r="F15" i="2"/>
  <c r="E15" i="2"/>
  <c r="G14" i="2"/>
  <c r="F14" i="2"/>
  <c r="E14" i="2"/>
  <c r="G13" i="2"/>
  <c r="F13" i="2"/>
  <c r="E13" i="2"/>
  <c r="G12" i="2"/>
  <c r="F12" i="2"/>
  <c r="E12" i="2"/>
  <c r="G11" i="2"/>
  <c r="F11" i="2"/>
  <c r="E11" i="2"/>
  <c r="G10" i="2"/>
  <c r="F10" i="2"/>
  <c r="E10" i="2"/>
  <c r="G9" i="2"/>
  <c r="F9" i="2"/>
  <c r="E9" i="2"/>
  <c r="G8" i="2"/>
  <c r="F8" i="2"/>
  <c r="E8" i="2"/>
  <c r="G7" i="2"/>
  <c r="F7" i="2"/>
  <c r="E7" i="2"/>
  <c r="G6" i="2"/>
  <c r="F6" i="2"/>
  <c r="E6" i="2"/>
  <c r="D31" i="1"/>
  <c r="D30" i="1"/>
  <c r="D29" i="1"/>
  <c r="D11" i="14" l="1"/>
  <c r="C37" i="14" s="1"/>
  <c r="C36" i="14"/>
  <c r="K64" i="12"/>
  <c r="U64" i="12"/>
  <c r="K63" i="12"/>
  <c r="U63" i="12"/>
  <c r="K22" i="12"/>
  <c r="U22" i="12"/>
  <c r="K8" i="12"/>
  <c r="U8" i="12"/>
  <c r="K8" i="14"/>
  <c r="K11" i="14" s="1"/>
  <c r="J8" i="14"/>
  <c r="J11" i="14" s="1"/>
  <c r="F11" i="14"/>
  <c r="G6" i="14"/>
  <c r="L64" i="12"/>
  <c r="M64" i="12"/>
  <c r="L63" i="12"/>
  <c r="M63" i="12"/>
  <c r="U62" i="12"/>
  <c r="K62" i="12"/>
  <c r="U61" i="12"/>
  <c r="K61" i="12"/>
  <c r="U60" i="12"/>
  <c r="K60" i="12"/>
  <c r="U59" i="12"/>
  <c r="K59" i="12"/>
  <c r="U58" i="12"/>
  <c r="K58" i="12"/>
  <c r="U57" i="12"/>
  <c r="K57" i="12"/>
  <c r="U56" i="12"/>
  <c r="K56" i="12"/>
  <c r="K55" i="12"/>
  <c r="U55" i="12"/>
  <c r="K54" i="12"/>
  <c r="U54" i="12"/>
  <c r="U53" i="12"/>
  <c r="K53" i="12"/>
  <c r="U52" i="12"/>
  <c r="K52" i="12"/>
  <c r="U51" i="12"/>
  <c r="K51" i="12"/>
  <c r="U50" i="12"/>
  <c r="K50" i="12"/>
  <c r="K49" i="12"/>
  <c r="U49" i="12"/>
  <c r="U48" i="12"/>
  <c r="K48" i="12"/>
  <c r="U47" i="12"/>
  <c r="K47" i="12"/>
  <c r="U46" i="12"/>
  <c r="K46" i="12"/>
  <c r="U45" i="12"/>
  <c r="K45" i="12"/>
  <c r="K44" i="12"/>
  <c r="U44" i="12"/>
  <c r="K43" i="12"/>
  <c r="U43" i="12"/>
  <c r="U42" i="12"/>
  <c r="K42" i="12"/>
  <c r="U41" i="12"/>
  <c r="K41" i="12"/>
  <c r="U40" i="12"/>
  <c r="K40" i="12"/>
  <c r="U39" i="12"/>
  <c r="K39" i="12"/>
  <c r="U38" i="12"/>
  <c r="K38" i="12"/>
  <c r="U37" i="12"/>
  <c r="K37" i="12"/>
  <c r="U36" i="12"/>
  <c r="K36" i="12"/>
  <c r="U35" i="12"/>
  <c r="K35" i="12"/>
  <c r="U34" i="12"/>
  <c r="K34" i="12"/>
  <c r="U33" i="12"/>
  <c r="K33" i="12"/>
  <c r="U32" i="12"/>
  <c r="K32" i="12"/>
  <c r="U31" i="12"/>
  <c r="K31" i="12"/>
  <c r="U30" i="12"/>
  <c r="K30" i="12"/>
  <c r="U29" i="12"/>
  <c r="K29" i="12"/>
  <c r="K28" i="12"/>
  <c r="U28" i="12"/>
  <c r="K27" i="12"/>
  <c r="U27" i="12"/>
  <c r="U26" i="12"/>
  <c r="K26" i="12"/>
  <c r="U25" i="12"/>
  <c r="K25" i="12"/>
  <c r="U24" i="12"/>
  <c r="K24" i="12"/>
  <c r="U23" i="12"/>
  <c r="K23" i="12"/>
  <c r="L22" i="12"/>
  <c r="M22" i="12"/>
  <c r="U21" i="12"/>
  <c r="K21" i="12"/>
  <c r="U20" i="12"/>
  <c r="K20" i="12"/>
  <c r="U19" i="12"/>
  <c r="K19" i="12"/>
  <c r="K18" i="12"/>
  <c r="U18" i="12"/>
  <c r="U17" i="12"/>
  <c r="K17" i="12"/>
  <c r="U16" i="12"/>
  <c r="K16" i="12"/>
  <c r="U15" i="12"/>
  <c r="K15" i="12"/>
  <c r="K14" i="12"/>
  <c r="U14" i="12"/>
  <c r="U13" i="12"/>
  <c r="K13" i="12"/>
  <c r="U12" i="12"/>
  <c r="K12" i="12"/>
  <c r="U11" i="12"/>
  <c r="K11" i="12"/>
  <c r="U10" i="12"/>
  <c r="K10" i="12"/>
  <c r="U9" i="12"/>
  <c r="K9" i="12"/>
  <c r="L8" i="12"/>
  <c r="M8" i="12"/>
  <c r="U7" i="12"/>
  <c r="K7" i="12"/>
  <c r="U6" i="12"/>
  <c r="K6" i="12"/>
  <c r="U5" i="12"/>
  <c r="K5" i="12"/>
  <c r="J31" i="2"/>
  <c r="H31" i="2"/>
  <c r="J30" i="2"/>
  <c r="H30" i="2"/>
  <c r="J29" i="2"/>
  <c r="H29" i="2"/>
  <c r="H28" i="2"/>
  <c r="J28" i="2"/>
  <c r="H27" i="2"/>
  <c r="J27" i="2"/>
  <c r="H26" i="2"/>
  <c r="J26" i="2"/>
  <c r="J25" i="2"/>
  <c r="H25" i="2"/>
  <c r="J24" i="2"/>
  <c r="H24" i="2"/>
  <c r="H23" i="2"/>
  <c r="J23" i="2"/>
  <c r="J22" i="2"/>
  <c r="H22" i="2"/>
  <c r="J21" i="2"/>
  <c r="H21" i="2"/>
  <c r="J20" i="2"/>
  <c r="H20" i="2"/>
  <c r="H19" i="2"/>
  <c r="J19" i="2"/>
  <c r="J18" i="2"/>
  <c r="H18" i="2"/>
  <c r="J17" i="2"/>
  <c r="H17" i="2"/>
  <c r="H16" i="2"/>
  <c r="J16" i="2"/>
  <c r="H15" i="2"/>
  <c r="J15" i="2"/>
  <c r="J14" i="2"/>
  <c r="H14" i="2"/>
  <c r="J13" i="2"/>
  <c r="H13" i="2"/>
  <c r="J12" i="2"/>
  <c r="H12" i="2"/>
  <c r="J11" i="2"/>
  <c r="H11" i="2"/>
  <c r="J10" i="2"/>
  <c r="H10" i="2"/>
  <c r="J9" i="2"/>
  <c r="H9" i="2"/>
  <c r="J8" i="2"/>
  <c r="H8" i="2"/>
  <c r="H7" i="2"/>
  <c r="J7" i="2"/>
  <c r="J6" i="2"/>
  <c r="H6" i="2"/>
  <c r="E35" i="2" s="1"/>
  <c r="C49" i="14"/>
  <c r="G11" i="14" l="1"/>
  <c r="C35" i="14" s="1"/>
  <c r="C33" i="14"/>
  <c r="L62" i="12"/>
  <c r="M62" i="12"/>
  <c r="L61" i="12"/>
  <c r="M61" i="12"/>
  <c r="L60" i="12"/>
  <c r="M60" i="12"/>
  <c r="L59" i="12"/>
  <c r="M59" i="12"/>
  <c r="L58" i="12"/>
  <c r="M58" i="12"/>
  <c r="L57" i="12"/>
  <c r="M57" i="12"/>
  <c r="L56" i="12"/>
  <c r="M56" i="12"/>
  <c r="L55" i="12"/>
  <c r="M55" i="12"/>
  <c r="L54" i="12"/>
  <c r="M54" i="12"/>
  <c r="L53" i="12"/>
  <c r="M53" i="12"/>
  <c r="L52" i="12"/>
  <c r="M52" i="12"/>
  <c r="L51" i="12"/>
  <c r="M51" i="12"/>
  <c r="L50" i="12"/>
  <c r="M50" i="12"/>
  <c r="L49" i="12"/>
  <c r="M49" i="12"/>
  <c r="L48" i="12"/>
  <c r="M48" i="12"/>
  <c r="L47" i="12"/>
  <c r="M47" i="12"/>
  <c r="L46" i="12"/>
  <c r="M46" i="12"/>
  <c r="L45" i="12"/>
  <c r="M45" i="12"/>
  <c r="L44" i="12"/>
  <c r="M44" i="12"/>
  <c r="M43" i="12"/>
  <c r="L43" i="12"/>
  <c r="L42" i="12"/>
  <c r="M42" i="12"/>
  <c r="L41" i="12"/>
  <c r="M41" i="12"/>
  <c r="L40" i="12"/>
  <c r="M40" i="12"/>
  <c r="L39" i="12"/>
  <c r="M39" i="12"/>
  <c r="L38" i="12"/>
  <c r="M38" i="12"/>
  <c r="L37" i="12"/>
  <c r="M37" i="12"/>
  <c r="L36" i="12"/>
  <c r="M36" i="12"/>
  <c r="L35" i="12"/>
  <c r="M35" i="12"/>
  <c r="L34" i="12"/>
  <c r="M34" i="12"/>
  <c r="L33" i="12"/>
  <c r="M33" i="12"/>
  <c r="L32" i="12"/>
  <c r="M32" i="12"/>
  <c r="L31" i="12"/>
  <c r="M31" i="12"/>
  <c r="L30" i="12"/>
  <c r="M30" i="12"/>
  <c r="L29" i="12"/>
  <c r="M29" i="12"/>
  <c r="L28" i="12"/>
  <c r="M28" i="12"/>
  <c r="L27" i="12"/>
  <c r="M27" i="12"/>
  <c r="L26" i="12"/>
  <c r="M26" i="12"/>
  <c r="L25" i="12"/>
  <c r="M25" i="12"/>
  <c r="M24" i="12"/>
  <c r="L24" i="12"/>
  <c r="L23" i="12"/>
  <c r="M23" i="12"/>
  <c r="L21" i="12"/>
  <c r="M21" i="12"/>
  <c r="L20" i="12"/>
  <c r="M20" i="12"/>
  <c r="L19" i="12"/>
  <c r="M19" i="12"/>
  <c r="L18" i="12"/>
  <c r="M18" i="12"/>
  <c r="L17" i="12"/>
  <c r="M17" i="12"/>
  <c r="L16" i="12"/>
  <c r="M16" i="12"/>
  <c r="L15" i="12"/>
  <c r="M15" i="12"/>
  <c r="L14" i="12"/>
  <c r="M14" i="12"/>
  <c r="L13" i="12"/>
  <c r="M13" i="12"/>
  <c r="L12" i="12"/>
  <c r="M12" i="12"/>
  <c r="L11" i="12"/>
  <c r="M11" i="12"/>
  <c r="L10" i="12"/>
  <c r="M10" i="12"/>
  <c r="L9" i="12"/>
  <c r="M9" i="12"/>
  <c r="L7" i="12"/>
  <c r="M7" i="12"/>
  <c r="L6" i="12"/>
  <c r="M6" i="12"/>
  <c r="N36" i="14"/>
  <c r="N38" i="14"/>
  <c r="N40" i="14"/>
  <c r="N42" i="14"/>
  <c r="N37" i="14"/>
  <c r="N41" i="14"/>
  <c r="N33" i="14"/>
  <c r="N34" i="14"/>
  <c r="N35" i="14"/>
  <c r="N39" i="14"/>
  <c r="L5" i="12"/>
  <c r="M5" i="12"/>
  <c r="C40" i="14"/>
  <c r="C47" i="14"/>
  <c r="G8" i="10"/>
  <c r="G9" i="10"/>
  <c r="D17" i="13"/>
  <c r="C41" i="14"/>
  <c r="C42" i="14"/>
  <c r="C43" i="14"/>
  <c r="J36" i="14" l="1"/>
  <c r="L36" i="14"/>
  <c r="K36" i="14"/>
  <c r="I36" i="14"/>
  <c r="I38" i="14"/>
  <c r="L38" i="14"/>
  <c r="K38" i="14"/>
  <c r="J38" i="14"/>
  <c r="J40" i="14"/>
  <c r="L40" i="14"/>
  <c r="I40" i="14"/>
  <c r="K40" i="14"/>
  <c r="I42" i="14"/>
  <c r="J42" i="14"/>
  <c r="L42" i="14"/>
  <c r="K42" i="14"/>
  <c r="J37" i="14"/>
  <c r="I37" i="14"/>
  <c r="L37" i="14"/>
  <c r="K37" i="14"/>
  <c r="K41" i="14"/>
  <c r="J41" i="14"/>
  <c r="L41" i="14"/>
  <c r="I41" i="14"/>
  <c r="I33" i="14"/>
  <c r="J33" i="14"/>
  <c r="K33" i="14"/>
  <c r="L33" i="14"/>
  <c r="I34" i="14"/>
  <c r="J34" i="14"/>
  <c r="K34" i="14"/>
  <c r="L34" i="14"/>
  <c r="J35" i="14"/>
  <c r="I35" i="14"/>
  <c r="K35" i="14"/>
  <c r="L35" i="14"/>
  <c r="L39" i="14"/>
  <c r="J39" i="14"/>
  <c r="K39" i="14"/>
  <c r="I39" i="14"/>
</calcChain>
</file>

<file path=xl/sharedStrings.xml><?xml version="1.0" encoding="utf-8"?>
<sst xmlns="http://schemas.openxmlformats.org/spreadsheetml/2006/main" count="2901" uniqueCount="1536">
  <si>
    <t>FAB - AWS Cloud Internet Breakout</t>
  </si>
  <si>
    <t>Independent Technical Assessment Workbook (SOW-aligned)</t>
  </si>
  <si>
    <t>Confidential - For Authorized Use Only</t>
  </si>
  <si>
    <t>ASSESSMENT DETAILS</t>
  </si>
  <si>
    <t>WORKBOOK STRUCTURE</t>
  </si>
  <si>
    <t>Customer Name:</t>
  </si>
  <si>
    <t>First Abu Dhabi Bank (FAB)</t>
  </si>
  <si>
    <t>Tab</t>
  </si>
  <si>
    <t>Name</t>
  </si>
  <si>
    <t>Description</t>
  </si>
  <si>
    <t>Engagement ID:</t>
  </si>
  <si>
    <t>[Enter Engagement ID]</t>
  </si>
  <si>
    <t>Cover &amp; Instructions</t>
  </si>
  <si>
    <t>Metadata, scoring guide, parameters, instructions</t>
  </si>
  <si>
    <t>SOW Reference:</t>
  </si>
  <si>
    <t>[Enter SOW No.]</t>
  </si>
  <si>
    <t>SOW Traceability</t>
  </si>
  <si>
    <t>SOW clause to assessment item coverage (live)</t>
  </si>
  <si>
    <t>Assessment Date:</t>
  </si>
  <si>
    <t>[DD/MM/YYYY]</t>
  </si>
  <si>
    <t>Architecture Review</t>
  </si>
  <si>
    <t>SOW 2.1 - design, VPC/CIDR, TGW, DNS, IGW/NAT, LBs, IaC</t>
  </si>
  <si>
    <t>Lead Assessor:</t>
  </si>
  <si>
    <t>[Enter Name]</t>
  </si>
  <si>
    <t>Traffic Flow Validation</t>
  </si>
  <si>
    <t>SOW 2.2 - inbound/outbound/east-west, symmetry, insertion, steering</t>
  </si>
  <si>
    <t>Secondary Assessor(s):</t>
  </si>
  <si>
    <t>[Enter Name(s)]</t>
  </si>
  <si>
    <t>Traffic Flow Matrix</t>
  </si>
  <si>
    <t>Per-flow path, inspection point and return-path validation</t>
  </si>
  <si>
    <t>Scope:</t>
  </si>
  <si>
    <t>AWS Cloud Internet Breakout - Architecture, Traffic Flow, Resilience, Third-Party Integration, Migration &amp; Cutover</t>
  </si>
  <si>
    <t>HA &amp; Resilience</t>
  </si>
  <si>
    <t>SOW 2.3 - multi-AZ, failure modes, convergence, asymmetry</t>
  </si>
  <si>
    <t>AWS Account(s) in Scope:</t>
  </si>
  <si>
    <t>[Enter Account IDs]</t>
  </si>
  <si>
    <t>UAT Failover Scenarios</t>
  </si>
  <si>
    <t>Failover scenarios, expected results, measured recovery</t>
  </si>
  <si>
    <t>AWS Region(s):</t>
  </si>
  <si>
    <t>[Enter Region(s)]</t>
  </si>
  <si>
    <t>Third-Party Integration</t>
  </si>
  <si>
    <t>SOW 2.4 - NVAs, IPS/IDS/WAF, proxy, GENEVE, health checks</t>
  </si>
  <si>
    <t>Assessment Version:</t>
  </si>
  <si>
    <t>Migration &amp; Cutover</t>
  </si>
  <si>
    <t>SOW 2.5 - switchover, rollback, black-hole windows, readiness</t>
  </si>
  <si>
    <t>Document Classification:</t>
  </si>
  <si>
    <t>Confidential</t>
  </si>
  <si>
    <t>Go-NoGo Criteria</t>
  </si>
  <si>
    <t>Go/No-Go criteria with automatic decision</t>
  </si>
  <si>
    <t>Integration Risk Register</t>
  </si>
  <si>
    <t>AWS and third-party interoperability risks and mitigations</t>
  </si>
  <si>
    <t>SCORING LEGEND</t>
  </si>
  <si>
    <t>Findings &amp; Remediation</t>
  </si>
  <si>
    <t>Consolidated findings, risk rating and remediation plan</t>
  </si>
  <si>
    <t>Score</t>
  </si>
  <si>
    <t>Maturity Level</t>
  </si>
  <si>
    <t>Deliverables Tracker</t>
  </si>
  <si>
    <t>Seven SOW deliverables and partner responsibilities</t>
  </si>
  <si>
    <t>Not Implemented</t>
  </si>
  <si>
    <t>Control or capability is absent; no evidence of implementation or planning.</t>
  </si>
  <si>
    <t>Executive Dashboard</t>
  </si>
  <si>
    <t>Scores, RAG distribution, risks, UAT, cutover readiness</t>
  </si>
  <si>
    <t>Initial / Ad-Hoc</t>
  </si>
  <si>
    <t>Partial or reactive implementation; not standardized, inconsistent.</t>
  </si>
  <si>
    <t>Defined / Managed</t>
  </si>
  <si>
    <t>Documented and consistently applied; meets baseline requirements.</t>
  </si>
  <si>
    <t>INSTRUCTIONS FOR USE</t>
  </si>
  <si>
    <t>Quantitatively Managed</t>
  </si>
  <si>
    <t>Proactive monitoring, metrics-driven; exceeds baseline.</t>
  </si>
  <si>
    <t>1. Complete the Assessment Details on this tab; set thresholds in Parameters if FAB requires different bands.</t>
  </si>
  <si>
    <t>Optimized / Automated</t>
  </si>
  <si>
    <t>Fully automated, continuously improved; industry-leading.</t>
  </si>
  <si>
    <t>2. Review the SOW Traceability tab: every SOW clause must show 'Covered' (no GAP).</t>
  </si>
  <si>
    <t>3. Work through tabs 3-9 (Architecture, Traffic Flow, HA &amp; Resilience, Third-Party, Migration, plus the Flow Matrix and UAT tabs). Score each item 1-5 using the Scoring Legend; RAG is calculated automatically.</t>
  </si>
  <si>
    <t>RAG STATUS GUIDE</t>
  </si>
  <si>
    <t>4. For every item record Findings and Recommendations, and attach evidence per the Evidence / Validation Method column. Leave Score blank if an item is not applicable.</t>
  </si>
  <si>
    <t>Status</t>
  </si>
  <si>
    <t>Criteria</t>
  </si>
  <si>
    <t>Score Range</t>
  </si>
  <si>
    <t>5. Record each issue as a row in Findings &amp; Remediation with Evidence, Impact, Likelihood, Impact score, Recommendation, Dependency and Owner (SOW Section 4 requirement).</t>
  </si>
  <si>
    <t>RED</t>
  </si>
  <si>
    <t>Critical gap - immediate remediation required. High risk.</t>
  </si>
  <si>
    <t>6. Validate every row of the Traffic Flow Matrix and execute the UAT Failover Scenarios; record measured recovery times against FAB-agreed targets.</t>
  </si>
  <si>
    <t>AMBER</t>
  </si>
  <si>
    <t>Partial implementation - improvement needed in 30-60 days.</t>
  </si>
  <si>
    <t>7. Rate the seeded candidate risks in the Integration Risk Register (Likelihood x Impact) and add any new interoperability risks.</t>
  </si>
  <si>
    <t>GREEN</t>
  </si>
  <si>
    <t>Meets or exceeds requirements - minor improvements only.</t>
  </si>
  <si>
    <t>8. Update the Go-NoGo Criteria status; the overall GO / NO-GO / PENDING decision is calculated automatically.</t>
  </si>
  <si>
    <t>9. Track each SOW deliverable and FAB review comments on the Deliverables Tracker.</t>
  </si>
  <si>
    <t>PARAMETERS (edit blue cells to change thresholds workbook-wide)</t>
  </si>
  <si>
    <t>10. Executive Dashboard summarises everything live - review before the FAB readout. Blue cells are inputs; grey italic text is placeholder text to overwrite.</t>
  </si>
  <si>
    <t>Parameter</t>
  </si>
  <si>
    <t>Value</t>
  </si>
  <si>
    <t>Notes</t>
  </si>
  <si>
    <t>RED if score &lt;=</t>
  </si>
  <si>
    <t>Scores at or below this value are RED (assessment items and domain averages). Source: reference workbook RAG guide (1.0 - 2.0).</t>
  </si>
  <si>
    <t>AMBER if score &lt;=</t>
  </si>
  <si>
    <t>Scores above RED and up to this value are AMBER; above it GREEN. Source: reference workbook RAG guide (2.1 - 3.5).</t>
  </si>
  <si>
    <t>Risk Critical if score &gt;=</t>
  </si>
  <si>
    <t>Likelihood x Impact (1-25). Assessor-set threshold - adjust to FAB risk appetite.</t>
  </si>
  <si>
    <t>Risk High if score &gt;=</t>
  </si>
  <si>
    <t>Assessor-set threshold - adjust to FAB risk appetite.</t>
  </si>
  <si>
    <t>Risk Medium if score &gt;=</t>
  </si>
  <si>
    <t>Below this value the risk is Low. Assessor-set threshold - adjust to FAB risk appetite.</t>
  </si>
  <si>
    <t>EXAMPLE FINDING ENTRY (ILLUSTRATIVE ONLY - not an assessed finding)</t>
  </si>
  <si>
    <t>Finding Summary</t>
  </si>
  <si>
    <t>Inspection VPC TGW attachment has appliance mode disabled.</t>
  </si>
  <si>
    <t>One line stating what is wrong and where.</t>
  </si>
  <si>
    <t>Evidence Reference</t>
  </si>
  <si>
    <t>TGW attachment attribute export; VPC Flow Logs showing one-directional flows.</t>
  </si>
  <si>
    <t>Screenshot/export/log reference so FAB can verify.</t>
  </si>
  <si>
    <t>Impact</t>
  </si>
  <si>
    <t>Stateful firewall sees only one direction of some flows across AZs - intermittent resets and drops.</t>
  </si>
  <si>
    <t>Business and technical consequence.</t>
  </si>
  <si>
    <t>Likelihood / Impact (1-5)</t>
  </si>
  <si>
    <t>4 / 4  -&gt;  Risk Score 16 = High</t>
  </si>
  <si>
    <t>Score, rating and RAG are calculated automatically.</t>
  </si>
  <si>
    <t>Recommendation</t>
  </si>
  <si>
    <t>Enable appliance mode on the inspection attachment; validate flow symmetry in UAT before cutover.</t>
  </si>
  <si>
    <t>Specific and actionable.</t>
  </si>
  <si>
    <t>Dependency</t>
  </si>
  <si>
    <t>Change window; brief attachment update; UAT-010 retest.</t>
  </si>
  <si>
    <t>What must happen first or alongside.</t>
  </si>
  <si>
    <t>Owner / Closure Evidence</t>
  </si>
  <si>
    <t>[Assign] / Post-change flow logs and packet capture showing symmetric flows.</t>
  </si>
  <si>
    <t>Who fixes it and how closure is proven.</t>
  </si>
  <si>
    <t>Reference format: AWS_Cloud_Internet_Breakout_Assessment.xlsx. Candidate risks, flow patterns and UAT scenarios are generic starting points - all scores and findings must come from FAB evidence.</t>
  </si>
  <si>
    <t>SOW TRACEABILITY MATRIX</t>
  </si>
  <si>
    <t>Every SOW scope clause maps to assessment items; coverage is calculated live from the assessment tabs (GAP = no item mapped)</t>
  </si>
  <si>
    <t>SOW Ref</t>
  </si>
  <si>
    <t>SOW Section</t>
  </si>
  <si>
    <t>SOW Requirement</t>
  </si>
  <si>
    <t>Assessment Tab</t>
  </si>
  <si>
    <t>Items
Mapped</t>
  </si>
  <si>
    <t>Items
Scored</t>
  </si>
  <si>
    <t>Avg
Score</t>
  </si>
  <si>
    <t>Coverage
Check</t>
  </si>
  <si>
    <t>Linked
Deliverable #</t>
  </si>
  <si>
    <t>Workbook Coverage</t>
  </si>
  <si>
    <t>1</t>
  </si>
  <si>
    <t>1. Objective</t>
  </si>
  <si>
    <t>Independent technical assessment of the AWS Cloud Internet Breakout architecture before production rollout: design, routing, security controls, resilience, migration readiness and key risks.</t>
  </si>
  <si>
    <t>All tabs</t>
  </si>
  <si>
    <t>n/a</t>
  </si>
  <si>
    <t>All</t>
  </si>
  <si>
    <t>Consolidated in Executive Dashboard</t>
  </si>
  <si>
    <t>2.1.1</t>
  </si>
  <si>
    <t>2.1 Architecture Review</t>
  </si>
  <si>
    <t>Review the design against FAB security, availability and operational requirements.</t>
  </si>
  <si>
    <t>2.1.2</t>
  </si>
  <si>
    <t>Validate VPCs, CIDRs, subnets and Availability Zone placement.</t>
  </si>
  <si>
    <t>2.1.3</t>
  </si>
  <si>
    <t>Assess Transit Gateway, route tables, propagation and routing controls.</t>
  </si>
  <si>
    <t>2.1.4</t>
  </si>
  <si>
    <t>DNS architecture and name resolution.</t>
  </si>
  <si>
    <t>2.1.5</t>
  </si>
  <si>
    <t>Internet Gateway and NAT Gateway design.</t>
  </si>
  <si>
    <t>2.1.6</t>
  </si>
  <si>
    <t>Application Load Balancer, Network Load Balancer and Gateway Load Balancer design.</t>
  </si>
  <si>
    <t>2.1.7</t>
  </si>
  <si>
    <t>Review Terraform or CloudFormation against the approved design.</t>
  </si>
  <si>
    <t>2.2.1</t>
  </si>
  <si>
    <t>2.2 Traffic Flow Validation</t>
  </si>
  <si>
    <t>Review inbound, outbound and east-west traffic flows.</t>
  </si>
  <si>
    <t>2</t>
  </si>
  <si>
    <t>2.2.2</t>
  </si>
  <si>
    <t>Validate L3/L7 paths, inspection, proxy, firewall and load-balancing dependencies.</t>
  </si>
  <si>
    <t>2.2.3</t>
  </si>
  <si>
    <t>Verify routing symmetry and return-path design.</t>
  </si>
  <si>
    <t>2.2.4</t>
  </si>
  <si>
    <t>Review service insertion and inspection flows.</t>
  </si>
  <si>
    <t>2.2.5</t>
  </si>
  <si>
    <t>Confirm security-control placement and traffic steering.</t>
  </si>
  <si>
    <t>2.3.1</t>
  </si>
  <si>
    <t>2.3 High Availability &amp; Resilience</t>
  </si>
  <si>
    <t>Review multi-Availability Zone architecture and fault-tolerance mechanisms.</t>
  </si>
  <si>
    <t>3</t>
  </si>
  <si>
    <t>2.3.2</t>
  </si>
  <si>
    <t>Assess Availability Zone, network virtual appliance and Gateway Load Balancer target failure scenarios.</t>
  </si>
  <si>
    <t>2.3.3</t>
  </si>
  <si>
    <t>Review route convergence, recovery behavior and stateful session impact.</t>
  </si>
  <si>
    <t>2.3.4</t>
  </si>
  <si>
    <t>Identify asymmetric-routing risks.</t>
  </si>
  <si>
    <t>2.3.5</t>
  </si>
  <si>
    <t>Define practical failover scenarios and expected results for UAT.</t>
  </si>
  <si>
    <t>2.4.1</t>
  </si>
  <si>
    <t>2.4 Third-Party Integration</t>
  </si>
  <si>
    <t>Review integration with network virtual appliances and firewalls.</t>
  </si>
  <si>
    <t>4</t>
  </si>
  <si>
    <t>2.4.2</t>
  </si>
  <si>
    <t>Review integration with IPS/IDS and WAF solutions.</t>
  </si>
  <si>
    <t>2.4.3</t>
  </si>
  <si>
    <t>Review integration with proxy and security inspection services.</t>
  </si>
  <si>
    <t>2.4.4</t>
  </si>
  <si>
    <t>GENEVE compatibility, health checks, routing, return paths and inspection-chain dependencies.</t>
  </si>
  <si>
    <t>2.5.1</t>
  </si>
  <si>
    <t>2.5 Migration &amp; Cutover Readiness</t>
  </si>
  <si>
    <t>Review the migration strategy and traffic switchover sequence.</t>
  </si>
  <si>
    <t>5</t>
  </si>
  <si>
    <t>2.5.2</t>
  </si>
  <si>
    <t>Review rollback procedures, triggers and service-restoration criteria.</t>
  </si>
  <si>
    <t>2.5.3</t>
  </si>
  <si>
    <t>Identify cutover dependencies and potential traffic black-hole windows.</t>
  </si>
  <si>
    <t>2.5.4</t>
  </si>
  <si>
    <t>Define go/no-go criteria.</t>
  </si>
  <si>
    <t>2.5.5</t>
  </si>
  <si>
    <t>Provide production-readiness recommendation with risks and prerequisites.</t>
  </si>
  <si>
    <t>3. Key Deliverables</t>
  </si>
  <si>
    <t>Seven deliverables with minimum content (see Deliverables Tracker).</t>
  </si>
  <si>
    <t>1-7</t>
  </si>
  <si>
    <t>4. Partner Responsibilities</t>
  </si>
  <si>
    <t>Consultants assigned; evidence-backed findings; FAB comments resolved; final artefacts submitted.</t>
  </si>
  <si>
    <t>See Partner Responsibilities checklist</t>
  </si>
  <si>
    <t>Scope clauses with no mapped item (GAP):</t>
  </si>
  <si>
    <t>ARCHITECTURE REVIEW</t>
  </si>
  <si>
    <t>SOW 2.1 | Requirements Alignment | VPC/CIDR/Subnet/AZ | Transit Gateway &amp; Routing | DNS | IGW &amp; NAT | ALB/NLB/GWLB | Terraform/CloudFormation</t>
  </si>
  <si>
    <t>ID</t>
  </si>
  <si>
    <t>Category</t>
  </si>
  <si>
    <t>Assessment Item</t>
  </si>
  <si>
    <t>Description / Expected State</t>
  </si>
  <si>
    <t>Evidence / Validation Method</t>
  </si>
  <si>
    <t>SOW
Ref</t>
  </si>
  <si>
    <t>Score
(1-5)</t>
  </si>
  <si>
    <t>RAG
Status</t>
  </si>
  <si>
    <t>Findings</t>
  </si>
  <si>
    <t>Recommendations</t>
  </si>
  <si>
    <t>Owner</t>
  </si>
  <si>
    <t>Target
Date</t>
  </si>
  <si>
    <t xml:space="preserve">  Requirements Alignment   (SOW 2.1.1)</t>
  </si>
  <si>
    <t>ARC-001</t>
  </si>
  <si>
    <t>Requirements Alignment</t>
  </si>
  <si>
    <t>Requirements Baseline</t>
  </si>
  <si>
    <t>FAB security, availability and operational requirements for internet breakout are documented and every design decision is traceable to a requirement.</t>
  </si>
  <si>
    <t>FAB requirements register, HLD/LLD, design decision log, traceability matrix</t>
  </si>
  <si>
    <t>[Enter findings]</t>
  </si>
  <si>
    <t>[Enter recommendations]</t>
  </si>
  <si>
    <t>[Assign]</t>
  </si>
  <si>
    <t>[Date]</t>
  </si>
  <si>
    <t>ARC-002</t>
  </si>
  <si>
    <t>Security Standards Alignment</t>
  </si>
  <si>
    <t>Design meets FAB security standards: segmentation, centralised egress control, traffic inspection, logging, and encryption in transit.</t>
  </si>
  <si>
    <t>FAB security standards, control compliance matrix, design review workshop</t>
  </si>
  <si>
    <t>ARC-003</t>
  </si>
  <si>
    <t>Availability &amp; Recovery Targets</t>
  </si>
  <si>
    <t>Availability, RTO and RPO targets for internet connectivity are defined and the design demonstrably meets them.</t>
  </si>
  <si>
    <t>SLA/SLO documents, availability calculation, RTO/RPO sign-off</t>
  </si>
  <si>
    <t>ARC-004</t>
  </si>
  <si>
    <t>Operational Requirements Alignment</t>
  </si>
  <si>
    <t>Operating model (monitoring, patching, change, on-call, runbooks) is defined and resourced for all breakout components.</t>
  </si>
  <si>
    <t>Operations handbook, RACI, runbook inventory, on-call rota</t>
  </si>
  <si>
    <t>ARC-005</t>
  </si>
  <si>
    <t>Design Documentation Quality</t>
  </si>
  <si>
    <t>HLD, LLD, network diagrams, IP plan and data-flow diagrams are complete, current, version-controlled and formally approved.</t>
  </si>
  <si>
    <t>Architecture repository, approval records, diagram vs deployed-state comparison</t>
  </si>
  <si>
    <t>ARC-006</t>
  </si>
  <si>
    <t>Landing Zone &amp; Reference Architecture Fit</t>
  </si>
  <si>
    <t>Network, inspection and egress components sit in dedicated network/shared-services accounts, aligned to AWS Landing Zone and Security Reference Architecture patterns.</t>
  </si>
  <si>
    <t>AWS Organizations structure, account inventory, SRA gap comparison</t>
  </si>
  <si>
    <t xml:space="preserve">  VPC, CIDR, Subnet &amp; AZ Design   (SOW 2.1.2)</t>
  </si>
  <si>
    <t>ARC-007</t>
  </si>
  <si>
    <t>VPC, CIDR, Subnet &amp; AZ Design</t>
  </si>
  <si>
    <t>VPC Topology &amp; Roles</t>
  </si>
  <si>
    <t>VPC roles (ingress, egress, inspection, spoke, shared services) are clearly defined and the hub-and-spoke topology matches the approved design.</t>
  </si>
  <si>
    <t>VPC inventory across accounts/regions, topology diagram, tagging review</t>
  </si>
  <si>
    <t>ARC-008</t>
  </si>
  <si>
    <t>CIDR Planning &amp; Non-Overlap</t>
  </si>
  <si>
    <t>VPC CIDRs are non-overlapping with on-premises and other VPCs, managed via IPAM, and have documented growth headroom.</t>
  </si>
  <si>
    <t>IPAM export, CIDR allocation register, overlap analysis script</t>
  </si>
  <si>
    <t>ARC-009</t>
  </si>
  <si>
    <t>Subnet Design &amp; Sizing</t>
  </si>
  <si>
    <t>Subnets are tiered and separated (TGW attachment, GWLB endpoint, NAT/public, appliance, workload) with adequate sizing and dedicated small subnets for TGW attachments.</t>
  </si>
  <si>
    <t>Subnet inventory, route table association review, IP utilisation report</t>
  </si>
  <si>
    <t>ARC-010</t>
  </si>
  <si>
    <t>Availability Zone Placement &amp; AZ-ID Consistency</t>
  </si>
  <si>
    <t>Components are placed in the required number of AZs and consistent AZ IDs (not just AZ names) are used across accounts so resources are truly co-located or separated as designed.</t>
  </si>
  <si>
    <t>AZ name-to-ID mapping per account, subnet/AZ inventory</t>
  </si>
  <si>
    <t>ARC-011</t>
  </si>
  <si>
    <t>NACL &amp; Security Group Baseline</t>
  </si>
  <si>
    <t>NACLs and security groups on inspection, egress and endpoint subnets allow only required flows and cannot be used to bypass design intent.</t>
  </si>
  <si>
    <t>NACL/SG export, Reachability Analyzer, rule review</t>
  </si>
  <si>
    <t>ARC-012</t>
  </si>
  <si>
    <t>VPC Flow Logs &amp; Network Visibility</t>
  </si>
  <si>
    <t>VPC Flow Logs are enabled for all VPCs/ENIs in the breakout path, centralised, retained per policy, and usable for path validation.</t>
  </si>
  <si>
    <t>Flow Log configuration export, log destination and retention settings</t>
  </si>
  <si>
    <t xml:space="preserve">  Transit Gateway &amp; Routing Controls   (SOW 2.1.3)</t>
  </si>
  <si>
    <t>ARC-013</t>
  </si>
  <si>
    <t>Transit Gateway &amp; Routing Controls</t>
  </si>
  <si>
    <t>Transit Gateway Design</t>
  </si>
  <si>
    <t>TGW topology (single/multi-region, peering, RAM sharing), attachment types and ownership are documented and match the approved design.</t>
  </si>
  <si>
    <t>TGW configuration export, RAM shares, attachment inventory</t>
  </si>
  <si>
    <t>ARC-014</t>
  </si>
  <si>
    <t>TGW Route Table Segmentation</t>
  </si>
  <si>
    <t>Separate TGW route tables exist for spoke, inspection, egress and on-premises domains with the intended associations.</t>
  </si>
  <si>
    <t>TGW route table and association export, segmentation matrix</t>
  </si>
  <si>
    <t>ARC-015</t>
  </si>
  <si>
    <t>Route Propagation &amp; Static Routes</t>
  </si>
  <si>
    <t>Propagation is limited to intended attachments, static routes steer the default route to inspection, and there is no unintended route leakage between domains.</t>
  </si>
  <si>
    <t>TGW route tables (propagated vs static), route leak analysis</t>
  </si>
  <si>
    <t>ARC-016</t>
  </si>
  <si>
    <t>Default Route Control</t>
  </si>
  <si>
    <t>Default routes (0.0.0.0/0) exist only where explicitly required and no path to the internet bypasses inspection.</t>
  </si>
  <si>
    <t>VPC and TGW route table review, Reachability Analyzer tests</t>
  </si>
  <si>
    <t>ARC-017</t>
  </si>
  <si>
    <t>VPC Route Table Design</t>
  </si>
  <si>
    <t>Route tables per subnet tier are correct (workload to TGW/GWLBe, firewall to NAT, NAT to IGW); no overlapping or unintended specific routes; blackhole routes are deliberate.</t>
  </si>
  <si>
    <t>Route table export per subnet tier, route table vs design comparison</t>
  </si>
  <si>
    <t>ARC-018</t>
  </si>
  <si>
    <t>Appliance Mode Configuration</t>
  </si>
  <si>
    <t>Appliance mode is enabled on the inspection VPC TGW attachment so forward and return flows use the same AZ appliance.</t>
  </si>
  <si>
    <t>TGW attachment attributes, flow symmetry test</t>
  </si>
  <si>
    <t>ARC-019</t>
  </si>
  <si>
    <t>Routing Change Guardrails</t>
  </si>
  <si>
    <t>IAM/SCP and Config controls prevent unauthorised route table, TGW or IGW changes; changes require approval and are audited.</t>
  </si>
  <si>
    <t>SCPs, IAM policies, AWS Config rules, CloudTrail sample</t>
  </si>
  <si>
    <t>ARC-020</t>
  </si>
  <si>
    <t>TGW Quotas &amp; Scalability</t>
  </si>
  <si>
    <t>Attachments, routes, bandwidth per attachment and flow limits are within quotas with documented headroom for growth.</t>
  </si>
  <si>
    <t>Service Quotas report, attachment/route counts, growth forecast</t>
  </si>
  <si>
    <t>ARC-021</t>
  </si>
  <si>
    <t>Hybrid Routing (Direct Connect / VPN)</t>
  </si>
  <si>
    <t>On-premises connectivity via DX/VPN with TGW/DXGW is redundant; BGP advertisements are summarised and no unintended default route is leaked either way.</t>
  </si>
  <si>
    <t>BGP session and advertised/received prefix lists, DX/VPN topology</t>
  </si>
  <si>
    <t xml:space="preserve">  DNS Architecture &amp; Name Resolution   (SOW 2.1.4)</t>
  </si>
  <si>
    <t>ARC-022</t>
  </si>
  <si>
    <t>DNS Architecture &amp; Name Resolution</t>
  </si>
  <si>
    <t>Route 53 Resolver Architecture</t>
  </si>
  <si>
    <t>Route 53 Resolver inbound/outbound endpoints and forwarding rules exist with ENIs in at least two AZs and adequate capacity.</t>
  </si>
  <si>
    <t>Resolver endpoint and rule configuration, ENI/AZ placement</t>
  </si>
  <si>
    <t>ARC-023</t>
  </si>
  <si>
    <t>Private Hosted Zones &amp; Split-Horizon</t>
  </si>
  <si>
    <t>Private hosted zones are associated with the correct VPCs (including cross-account) and split-horizon DNS is consistent between internal and external views.</t>
  </si>
  <si>
    <t>Hosted zone inventory, VPC associations, resolution tests</t>
  </si>
  <si>
    <t>ARC-024</t>
  </si>
  <si>
    <t>Hybrid DNS Resolution</t>
  </si>
  <si>
    <t>On-premises to AWS name resolution works both ways with conditional forwarders, no forwarding loops, and resolver rules shared via RAM where needed.</t>
  </si>
  <si>
    <t>On-premises DNS forwarder config, resolver rule associations, dig/nslookup tests</t>
  </si>
  <si>
    <t>ARC-025</t>
  </si>
  <si>
    <t>DNS Traffic Path &amp; Egress Control</t>
  </si>
  <si>
    <t>DNS query paths are documented; direct outbound UDP/TCP 53 to the internet is blocked except approved resolvers; DNS Firewall or equivalent is used.</t>
  </si>
  <si>
    <t>Firewall rules for port 53, DNS Firewall rule groups, query logs</t>
  </si>
  <si>
    <t>ARC-026</t>
  </si>
  <si>
    <t>DNS Resilience &amp; Query Capacity</t>
  </si>
  <si>
    <t>DNS resolution has no single point of failure, per-ENI resolver query limits are not approached, and failure of a resolver endpoint does not impact resolution.</t>
  </si>
  <si>
    <t>Resolver query logs/metrics, endpoint failure test</t>
  </si>
  <si>
    <t xml:space="preserve">  Internet Gateway &amp; NAT Gateway Design   (SOW 2.1.5)</t>
  </si>
  <si>
    <t>ARC-027</t>
  </si>
  <si>
    <t>Internet Gateway &amp; NAT Gateway Design</t>
  </si>
  <si>
    <t>Internet Gateway Placement</t>
  </si>
  <si>
    <t>IGWs are attached only to designated ingress/egress VPCs; no unintended IGW or public subnet exists in spoke VPCs.</t>
  </si>
  <si>
    <t>IGW inventory across accounts, Config rule, route tables with IGW targets</t>
  </si>
  <si>
    <t>ARC-028</t>
  </si>
  <si>
    <t>NAT Gateway Deployment Model</t>
  </si>
  <si>
    <t>NAT Gateways are deployed per AZ with AZ-local routing; public/private NAT type is appropriate; EIPs are correctly associated.</t>
  </si>
  <si>
    <t>NAT Gateway inventory, route tables per AZ</t>
  </si>
  <si>
    <t>ARC-029</t>
  </si>
  <si>
    <t>NAT Capacity &amp; Port Allocation</t>
  </si>
  <si>
    <t>NAT Gateway bandwidth and per-destination connection limits meet peak demand; ErrorPortAllocation and packet-drop metrics are monitored with alarms.</t>
  </si>
  <si>
    <t>CloudWatch NAT metrics, peak connection analysis, alarm configuration</t>
  </si>
  <si>
    <t>ARC-030</t>
  </si>
  <si>
    <t>Elastic IP Management &amp; Allow-Listing</t>
  </si>
  <si>
    <t>Egress EIPs are static, documented and allow-listed with third parties; EIP changes follow a controlled process including DR.</t>
  </si>
  <si>
    <t>EIP inventory, third-party allow-list register</t>
  </si>
  <si>
    <t>ARC-031</t>
  </si>
  <si>
    <t>IPv6 &amp; Egress-Only IGW</t>
  </si>
  <si>
    <t>IPv6 strategy is defined; egress-only IGW is used where applicable and IPv6 traffic is inspected equivalently to IPv4.</t>
  </si>
  <si>
    <t>IPv6 CIDR inventory, egress-only IGW config, inspection policy for IPv6</t>
  </si>
  <si>
    <t>ARC-032</t>
  </si>
  <si>
    <t>Public IP Exposure Controls</t>
  </si>
  <si>
    <t>No unintended public IPs/EIPs are assigned to workload resources; SCP/Config guardrails prevent them.</t>
  </si>
  <si>
    <t>Public IP inventory, Config conformance, SCPs</t>
  </si>
  <si>
    <t xml:space="preserve">  Load Balancer Design (ALB / NLB / GWLB)   (SOW 2.1.6)</t>
  </si>
  <si>
    <t>ARC-033</t>
  </si>
  <si>
    <t>Load Balancer Design (ALB / NLB / GWLB)</t>
  </si>
  <si>
    <t>Application Load Balancer Design</t>
  </si>
  <si>
    <t>ALB placement, multi-AZ coverage, listeners, TLS policy, WAF association, security groups, access logs and deletion protection follow the design and best practice.</t>
  </si>
  <si>
    <t>ALB configuration export, listener/TLS policy review, WAF association</t>
  </si>
  <si>
    <t>ARC-034</t>
  </si>
  <si>
    <t>Network Load Balancer Design</t>
  </si>
  <si>
    <t>NLB placement, cross-zone setting, client-IP preservation, TLS listeners, static IPs and target health are configured per design.</t>
  </si>
  <si>
    <t>NLB configuration export, target group and health settings</t>
  </si>
  <si>
    <t>ARC-035</t>
  </si>
  <si>
    <t>Gateway Load Balancer Design</t>
  </si>
  <si>
    <t>GWLB is deployed in the inspection VPC with GWLB endpoints per AZ, correct target groups (GENEVE), stickiness, cross-zone and target-failover settings per design.</t>
  </si>
  <si>
    <t>GWLB and target group configuration, endpoint inventory, failover attributes</t>
  </si>
  <si>
    <t>ARC-036</t>
  </si>
  <si>
    <t>GWLB Endpoint Service Sharing</t>
  </si>
  <si>
    <t>GWLB endpoint service permissions and acceptance are restricted to approved principals/accounts and follow change control.</t>
  </si>
  <si>
    <t>Endpoint service configuration, allowed principals, acceptance settings</t>
  </si>
  <si>
    <t>ARC-037</t>
  </si>
  <si>
    <t>Health Checks &amp; Timeouts</t>
  </si>
  <si>
    <t>Health check protocol, port, interval and thresholds and idle timeouts are aligned to failover objectives and appliance behaviour.</t>
  </si>
  <si>
    <t>Target group health check settings, appliance response tests</t>
  </si>
  <si>
    <t>ARC-038</t>
  </si>
  <si>
    <t>Load Balancer Security &amp; Logging</t>
  </si>
  <si>
    <t>Load balancers use secure TLS policies, restrictive SGs, access/flow logging to a central store, and deletion protection.</t>
  </si>
  <si>
    <t>Load balancer attributes, log destinations, security group rules</t>
  </si>
  <si>
    <t xml:space="preserve">  Infrastructure as Code Review   (SOW 2.1.7)</t>
  </si>
  <si>
    <t>ARC-039</t>
  </si>
  <si>
    <t>Infrastructure as Code Review</t>
  </si>
  <si>
    <t>IaC Coverage</t>
  </si>
  <si>
    <t>All breakout resources (VPCs, TGW, routes, GWLB, NAT, endpoints, IAM) are defined in Terraform or CloudFormation; no unmanaged or click-ops resources.</t>
  </si>
  <si>
    <t>IaC repository inventory vs deployed resource inventory</t>
  </si>
  <si>
    <t>ARC-040</t>
  </si>
  <si>
    <t>Conformance to Approved Design</t>
  </si>
  <si>
    <t>Deployed configuration matches the approved design; terraform plan / CloudFormation drift detection shows no unapproved differences.</t>
  </si>
  <si>
    <t>terraform plan output, CFN drift results, design vs code comparison</t>
  </si>
  <si>
    <t>ARC-041</t>
  </si>
  <si>
    <t>IaC Code Quality &amp; Security</t>
  </si>
  <si>
    <t>Modules are structured and version-pinned, static analysis (e.g., tfsec, checkov, cfn-nag) is used, no secrets in code, and changes are peer reviewed.</t>
  </si>
  <si>
    <t>Repository review, scan reports, pull request history</t>
  </si>
  <si>
    <t>ARC-042</t>
  </si>
  <si>
    <t>IaC Pipeline &amp; State Management</t>
  </si>
  <si>
    <t>State is remote, encrypted and locked; CI/CD applies approvals and environment promotion; rollback of a change is possible.</t>
  </si>
  <si>
    <t>Pipeline configuration, state backend settings, deployment history</t>
  </si>
  <si>
    <t>ARC-043</t>
  </si>
  <si>
    <t>Change Control &amp; Drift Detection</t>
  </si>
  <si>
    <t>Change management covers IaC changes and automated drift detection alerts on manual changes to breakout resources.</t>
  </si>
  <si>
    <t>Change records, drift detection config, alert samples</t>
  </si>
  <si>
    <t>TRAFFIC FLOW VALIDATION</t>
  </si>
  <si>
    <t>SOW 2.2 | Inbound / Outbound / East-West | L3-L7 Paths | Routing Symmetry &amp; Return Path | Service Insertion | Control Placement &amp; Steering</t>
  </si>
  <si>
    <t xml:space="preserve">  Inbound Flows   (SOW 2.2.1)</t>
  </si>
  <si>
    <t>TRF-001</t>
  </si>
  <si>
    <t>Inbound Flows</t>
  </si>
  <si>
    <t>Inbound Internet Path Documentation</t>
  </si>
  <si>
    <t>The inbound path (internet, edge services, load balancer, inspection, workload) is documented hop-by-hop and matches the deployed configuration.</t>
  </si>
  <si>
    <t>Flow diagrams, route tables, Reachability Analyzer, traceroute</t>
  </si>
  <si>
    <t>TRF-002</t>
  </si>
  <si>
    <t>Inbound Route Steering</t>
  </si>
  <si>
    <t>Ingress traffic is steered through inspection as designed (e.g., IGW edge route table to GWLB endpoints) with no bypass path to workloads.</t>
  </si>
  <si>
    <t>IGW edge association and route tables, test from external source</t>
  </si>
  <si>
    <t>TRF-003</t>
  </si>
  <si>
    <t>Public Exposure Inventory</t>
  </si>
  <si>
    <t>All internet-facing endpoints (EIPs, load balancer DNS names, API endpoints) are inventoried and each maps to an approved flow.</t>
  </si>
  <si>
    <t>Public IP/EIP/LB inventory, external attack-surface scan</t>
  </si>
  <si>
    <t>TRF-004</t>
  </si>
  <si>
    <t>Inbound Port &amp; Rule Enforcement</t>
  </si>
  <si>
    <t>Only required ports/protocols are reachable from the internet; SG, NACL and firewall rules enforce this.</t>
  </si>
  <si>
    <t>Reachability Analyzer, authorised port scan, rule review</t>
  </si>
  <si>
    <t>TRF-005</t>
  </si>
  <si>
    <t>Client Source IP Preservation</t>
  </si>
  <si>
    <t>Client IP is preserved or recoverable (X-Forwarded-For, proxy protocol) through the load balancer and appliance chain for logging and ACLs.</t>
  </si>
  <si>
    <t>Sample packet/log analysis at each hop, LB attribute review</t>
  </si>
  <si>
    <t xml:space="preserve">  Outbound Flows   (SOW 2.2.1)</t>
  </si>
  <si>
    <t>TRF-006</t>
  </si>
  <si>
    <t>Outbound Flows</t>
  </si>
  <si>
    <t>Outbound Internet Path Documentation</t>
  </si>
  <si>
    <t>The outbound path (workload, TGW, inspection, NAT, IGW) is documented and centralised vs distributed egress is consistent with the design.</t>
  </si>
  <si>
    <t>Flow diagrams, route tables, traceroute from workloads in each VPC</t>
  </si>
  <si>
    <t>TRF-007</t>
  </si>
  <si>
    <t>Egress Bypass Testing</t>
  </si>
  <si>
    <t>Tests confirm no workload VPC or subnet can reach the internet without inspection (direct IGW/NAT, other attachments, misconfigured routes).</t>
  </si>
  <si>
    <t>Egress test matrix from each spoke VPC/AZ, route analysis</t>
  </si>
  <si>
    <t>TRF-008</t>
  </si>
  <si>
    <t>Egress Filtering Effectiveness</t>
  </si>
  <si>
    <t>Egress policy is effective: approved destinations succeed and blocked categories/ports/domains fail as intended.</t>
  </si>
  <si>
    <t>Positive/negative egress tests, firewall logs</t>
  </si>
  <si>
    <t>TRF-009</t>
  </si>
  <si>
    <t>Outbound Protocol Coverage</t>
  </si>
  <si>
    <t>Non-HTTP(S) protocols (SSH, SMTP, NTP, DNS, ICMP, UDP) are handled by explicit policy with default deny.</t>
  </si>
  <si>
    <t>Protocol test matrix, firewall policy review</t>
  </si>
  <si>
    <t>TRF-010</t>
  </si>
  <si>
    <t>SNAT &amp; Source Attribution</t>
  </si>
  <si>
    <t>External parties see the expected egress EIPs and internal source attribution remains available for logging after NAT.</t>
  </si>
  <si>
    <t>External echo test, NAT and flow log correlation</t>
  </si>
  <si>
    <t xml:space="preserve">  East-West Flows   (SOW 2.2.1)</t>
  </si>
  <si>
    <t>TRF-011</t>
  </si>
  <si>
    <t>East-West Flows</t>
  </si>
  <si>
    <t>East-West Segmentation Policy</t>
  </si>
  <si>
    <t>Spoke-to-spoke traffic via TGW follows a documented segmentation matrix (production, non-production, shared services) and is enforced.</t>
  </si>
  <si>
    <t>Segmentation matrix, TGW route tables, connectivity tests</t>
  </si>
  <si>
    <t>TRF-012</t>
  </si>
  <si>
    <t>Intra-VPC Cross-Subnet / Cross-AZ Flows</t>
  </si>
  <si>
    <t>East-west flows inside a VPC are controlled (SG/NACL or inspection insertion) as designed and cross-AZ paths are understood.</t>
  </si>
  <si>
    <t>SG/NACL review, flow logs, Reachability Analyzer</t>
  </si>
  <si>
    <t>TRF-013</t>
  </si>
  <si>
    <t>East-West Inspection Coverage</t>
  </si>
  <si>
    <t>Which east-west flows are inspected vs bypass is documented; exceptions are risk-accepted.</t>
  </si>
  <si>
    <t>Inspection coverage matrix, exception register</t>
  </si>
  <si>
    <t>TRF-014</t>
  </si>
  <si>
    <t>Shared Services Access Paths</t>
  </si>
  <si>
    <t>DNS, directory, patching, monitoring and management flows to shared services are validated and inspected as designed.</t>
  </si>
  <si>
    <t>Shared services flow list, connectivity tests</t>
  </si>
  <si>
    <t xml:space="preserve">  Hybrid &amp; AWS Service Flows   (SOW 2.2.1)</t>
  </si>
  <si>
    <t>TRF-015</t>
  </si>
  <si>
    <t>Hybrid &amp; AWS Service Flows</t>
  </si>
  <si>
    <t>Hybrid Ingress / Egress Flows</t>
  </si>
  <si>
    <t>On-premises to AWS and AWS to on-premises flows traverse the expected inspection and routing path over DX/VPN.</t>
  </si>
  <si>
    <t>Path tests both directions, BGP/route review, firewall logs</t>
  </si>
  <si>
    <t>TRF-016</t>
  </si>
  <si>
    <t>AWS Service Access Paths</t>
  </si>
  <si>
    <t>Access to S3, DynamoDB and other AWS services uses VPC endpoints or defined paths rather than unintended internet routes; endpoint policies are restrictive.</t>
  </si>
  <si>
    <t>Endpoint inventory, route review, endpoint policy review</t>
  </si>
  <si>
    <t xml:space="preserve">  Layer 3 / Layer 7 Path Validation   (SOW 2.2.2)</t>
  </si>
  <si>
    <t>TRF-017</t>
  </si>
  <si>
    <t>Layer 3 / Layer 7 Path Validation</t>
  </si>
  <si>
    <t>L3/L4 Path Validation</t>
  </si>
  <si>
    <t>Reachability Analyzer and traceroute results for each defined flow match the expected hop sequence.</t>
  </si>
  <si>
    <t>Reachability Analyzer reports, traceroute/mtr captures</t>
  </si>
  <si>
    <t>TRF-018</t>
  </si>
  <si>
    <t>L7 Path &amp; Proxy Validation</t>
  </si>
  <si>
    <t>Explicit or transparent proxy handling of HTTP/S is validated including proxy chaining, PAC/WPAD distribution and authentication.</t>
  </si>
  <si>
    <t>Proxy configuration, client proxy settings, test requests</t>
  </si>
  <si>
    <t>TRF-019</t>
  </si>
  <si>
    <t>TLS Inspection Path</t>
  </si>
  <si>
    <t>It is documented where TLS is terminated or decrypted, trust certificates are deployed, exclusions (pinned apps) are recorded and performance is acceptable.</t>
  </si>
  <si>
    <t>TLS inspection policy, CA distribution evidence, exclusion list</t>
  </si>
  <si>
    <t>TRF-020</t>
  </si>
  <si>
    <t>Firewall Rule Path Dependencies</t>
  </si>
  <si>
    <t>Firewall policies match the intended flows; rule ordering is correct with no shadowed or any-any rules that undermine controls.</t>
  </si>
  <si>
    <t>Firewall rule base export, shadow/overly-permissive rule analysis</t>
  </si>
  <si>
    <t>TRF-021</t>
  </si>
  <si>
    <t>Load Balancing Dependencies in Path</t>
  </si>
  <si>
    <t>For every flow, ALB/NLB/GWLB dependencies (health checks, targets, listener rules) are documented, with the failure impact of each.</t>
  </si>
  <si>
    <t>Dependency map, load balancer configuration, failure impact analysis</t>
  </si>
  <si>
    <t xml:space="preserve">  Routing Symmetry &amp; Return Paths   (SOW 2.2.3)</t>
  </si>
  <si>
    <t>TRF-022</t>
  </si>
  <si>
    <t>Routing Symmetry &amp; Return Paths</t>
  </si>
  <si>
    <t>Return Path Design</t>
  </si>
  <si>
    <t>The return path for every flow is identified and passes through the same inspection appliance/AZ as the forward path.</t>
  </si>
  <si>
    <t>Return path diagrams, route tables for return direction</t>
  </si>
  <si>
    <t>TRF-023</t>
  </si>
  <si>
    <t>Routing Symmetry Verification</t>
  </si>
  <si>
    <t>Packet captures or flow logs prove both directions traverse the same appliance; appliance mode is validated.</t>
  </si>
  <si>
    <t>Packet capture at appliance, VPC Flow Logs, appliance session logs</t>
  </si>
  <si>
    <t>TRF-024</t>
  </si>
  <si>
    <t>Cross-AZ Symmetry Under Load Balancer Settings</t>
  </si>
  <si>
    <t>With AZ-local routing and cross-zone load balancing settings, flows remain symmetric across AZs including under failover.</t>
  </si>
  <si>
    <t>Cross-zone settings, multi-AZ flow tests, failover symmetry test</t>
  </si>
  <si>
    <t xml:space="preserve">  Service Insertion &amp; Inspection Flows   (SOW 2.2.4)</t>
  </si>
  <si>
    <t>TRF-025</t>
  </si>
  <si>
    <t>Service Insertion &amp; Inspection Flows</t>
  </si>
  <si>
    <t>Service Insertion Architecture</t>
  </si>
  <si>
    <t>Inspection insertion points (ingress, egress, east-west) use GWLB endpoints per AZ and route tables reference them as designed.</t>
  </si>
  <si>
    <t>GWLBe inventory, route tables pointing to GWLBe</t>
  </si>
  <si>
    <t>TRF-026</t>
  </si>
  <si>
    <t>Inspection Chain Ordering</t>
  </si>
  <si>
    <t>The order of chained services (e.g., firewall, IPS, proxy, WAF) and each hop's failure behaviour is documented and tested.</t>
  </si>
  <si>
    <t>Service chain diagram, per-hop failure behaviour tests</t>
  </si>
  <si>
    <t>TRF-027</t>
  </si>
  <si>
    <t>Inspection Flow Visibility</t>
  </si>
  <si>
    <t>Appliance logs and flow logs prove each in-scope flow is inspected; no uninspected path exists.</t>
  </si>
  <si>
    <t>Appliance logs, flow logs, inspection coverage test</t>
  </si>
  <si>
    <t xml:space="preserve">  Security Control Placement &amp; Traffic Steering   (SOW 2.2.5)</t>
  </si>
  <si>
    <t>TRF-028</t>
  </si>
  <si>
    <t>Security Control Placement &amp; Traffic Steering</t>
  </si>
  <si>
    <t>Security Control Placement</t>
  </si>
  <si>
    <t>Controls are placed at edge, inspection and workload layers per defence-in-depth with no reliance on a single layer.</t>
  </si>
  <si>
    <t>Control placement matrix, architecture review</t>
  </si>
  <si>
    <t>TRF-029</t>
  </si>
  <si>
    <t>Traffic Steering Mechanisms</t>
  </si>
  <si>
    <t>Route tables, TGW routes, GWLB endpoints and DNS steering are documented, deterministic and tested.</t>
  </si>
  <si>
    <t>Steering design, route configuration, path tests</t>
  </si>
  <si>
    <t>TRF-030</t>
  </si>
  <si>
    <t>Steering Change Audit</t>
  </si>
  <si>
    <t>Changes that alter traffic steering (routes, attachments, endpoints) are audited, alarmed and require approval.</t>
  </si>
  <si>
    <t>CloudTrail events, Config timeline, change tickets</t>
  </si>
  <si>
    <t>TRF-031</t>
  </si>
  <si>
    <t>Flow Validation Evidence &amp; Gap Recording</t>
  </si>
  <si>
    <t>Every flow in the Flow Matrix is validated with evidence and gaps are recorded as findings.</t>
  </si>
  <si>
    <t>Flow Matrix tab, evidence repository, findings tracker cross-reference</t>
  </si>
  <si>
    <t>TRAFFIC FLOW VALIDATION MATRIX</t>
  </si>
  <si>
    <t>SOW 2.2 | Every flow validated for path, inspection point and return-path symmetry | Test each flow from every AZ and record evidence</t>
  </si>
  <si>
    <t>Flow ID</t>
  </si>
  <si>
    <t>Flow Type</t>
  </si>
  <si>
    <t>Flow Description</t>
  </si>
  <si>
    <t>Reference Pattern
(AWS best practice - confirm vs FAB design)</t>
  </si>
  <si>
    <t>Actual Path per FAB Design</t>
  </si>
  <si>
    <t>Inspection Point(s)</t>
  </si>
  <si>
    <t>Protocols / Ports</t>
  </si>
  <si>
    <t>Return Path
Symmetric?</t>
  </si>
  <si>
    <t>Validation Method</t>
  </si>
  <si>
    <t>Result</t>
  </si>
  <si>
    <t>Gap Identified /
Finding Ref</t>
  </si>
  <si>
    <t>Linked Items</t>
  </si>
  <si>
    <t>Evidence Ref</t>
  </si>
  <si>
    <t>FLW-001</t>
  </si>
  <si>
    <t>Inbound</t>
  </si>
  <si>
    <t>Internet client to public web application (ALB/NLB)</t>
  </si>
  <si>
    <t>Internet &gt; IGW &gt; [ingress inspection via GWLB endpoint] &gt; ALB/NLB &gt; target</t>
  </si>
  <si>
    <t>[Enter]</t>
  </si>
  <si>
    <t>Not Tested</t>
  </si>
  <si>
    <t>Reachability Analyzer from IGW; external test from each AZ endpoint; capture at appliance</t>
  </si>
  <si>
    <t>TRF-001, TRF-002</t>
  </si>
  <si>
    <t>FLW-002</t>
  </si>
  <si>
    <t>Internet client to application behind third-party WAF / IPS</t>
  </si>
  <si>
    <t>Internet &gt; edge/WAF &gt; inspection &gt; load balancer &gt; target</t>
  </si>
  <si>
    <t>External request tests; WAF and appliance log correlation; source-IP check</t>
  </si>
  <si>
    <t>TRF-005, TPI-011</t>
  </si>
  <si>
    <t>FLW-003</t>
  </si>
  <si>
    <t>Outbound</t>
  </si>
  <si>
    <t>Workload to internet via centralised egress</t>
  </si>
  <si>
    <t>Workload &gt; TGW &gt; inspection VPC (GWLB/appliance) &gt; NAT Gateway &gt; IGW &gt; Internet</t>
  </si>
  <si>
    <t>Egress tests from each spoke VPC and AZ; traceroute; firewall and flow logs</t>
  </si>
  <si>
    <t>TRF-006, TRF-007</t>
  </si>
  <si>
    <t>FLW-004</t>
  </si>
  <si>
    <t>Workload HTTP/S via explicit or transparent proxy</t>
  </si>
  <si>
    <t>Workload &gt; proxy (NLB/GWLB) &gt; firewall &gt; NAT &gt; IGW</t>
  </si>
  <si>
    <t>Proxy configuration test; bypass attempt; proxy logs</t>
  </si>
  <si>
    <t>TRF-018, TPI-015</t>
  </si>
  <si>
    <t>FLW-005</t>
  </si>
  <si>
    <t>Workload to blocked destination (negative test)</t>
  </si>
  <si>
    <t>Workload &gt; inspection &gt; DROP</t>
  </si>
  <si>
    <t>Negative egress test; confirm block logged and no NAT session created</t>
  </si>
  <si>
    <t>FLW-006</t>
  </si>
  <si>
    <t>DNS</t>
  </si>
  <si>
    <t>Workload DNS query resolution (internal and external)</t>
  </si>
  <si>
    <t>Workload &gt; VPC resolver / Route 53 Resolver &gt; forwarders/on-premises or public</t>
  </si>
  <si>
    <t>dig/nslookup from each VPC; resolver query logs; port 53 egress block test</t>
  </si>
  <si>
    <t>ARC-022, TRF-009</t>
  </si>
  <si>
    <t>FLW-007</t>
  </si>
  <si>
    <t>East-West</t>
  </si>
  <si>
    <t>Spoke VPC to spoke VPC via TGW</t>
  </si>
  <si>
    <t>Spoke A &gt; TGW &gt; [inspection VPC] &gt; TGW &gt; Spoke B</t>
  </si>
  <si>
    <t>Reachability Analyzer; flow logs both directions; segmentation matrix test</t>
  </si>
  <si>
    <t>TRF-011, TRF-013</t>
  </si>
  <si>
    <t>FLW-008</t>
  </si>
  <si>
    <t>Cross-AZ flow within a VPC</t>
  </si>
  <si>
    <t>Subnet AZ-a &gt; SG/NACL (or GWLBe) &gt; Subnet AZ-b</t>
  </si>
  <si>
    <t>Flow logs; SG/NACL review; test with inspection endpoint if used</t>
  </si>
  <si>
    <t>FLW-009</t>
  </si>
  <si>
    <t>Workload to shared services (AD, patching, monitoring)</t>
  </si>
  <si>
    <t>Workload &gt; TGW &gt; shared services VPC</t>
  </si>
  <si>
    <t>Connectivity and port tests; inspection coverage check</t>
  </si>
  <si>
    <t>FLW-010</t>
  </si>
  <si>
    <t>Hybrid</t>
  </si>
  <si>
    <t>AWS workload to on-premises</t>
  </si>
  <si>
    <t>Workload &gt; TGW &gt; DX/VPN attachment &gt; on-premises firewall</t>
  </si>
  <si>
    <t>Path test both directions; BGP route check; firewall logs</t>
  </si>
  <si>
    <t>TRF-015, ARC-021</t>
  </si>
  <si>
    <t>FLW-011</t>
  </si>
  <si>
    <t>On-premises to AWS workload</t>
  </si>
  <si>
    <t>On-premises &gt; DX/VPN &gt; TGW &gt; [inspection] &gt; Workload</t>
  </si>
  <si>
    <t>Path test; return-path symmetry check; segmentation validation</t>
  </si>
  <si>
    <t>FLW-012</t>
  </si>
  <si>
    <t>AWS Service</t>
  </si>
  <si>
    <t>Workload to S3/DynamoDB via VPC endpoint</t>
  </si>
  <si>
    <t>Workload &gt; gateway/interface endpoint &gt; AWS service</t>
  </si>
  <si>
    <t>Route table check; endpoint policy test; confirm traffic not using NAT</t>
  </si>
  <si>
    <t>FLW-013</t>
  </si>
  <si>
    <t>Workload to AWS public API without endpoint</t>
  </si>
  <si>
    <t>Workload &gt; inspection &gt; NAT &gt; IGW &gt; AWS public endpoint</t>
  </si>
  <si>
    <t>Traceroute/flow logs; confirm intended and inspected</t>
  </si>
  <si>
    <t>FLW-014</t>
  </si>
  <si>
    <t>Return Path</t>
  </si>
  <si>
    <t>Return traffic for inbound flow (all AZs)</t>
  </si>
  <si>
    <t>Target &gt; same appliance/AZ as forward path &gt; client</t>
  </si>
  <si>
    <t>Packet capture at appliance in both directions; appliance mode check</t>
  </si>
  <si>
    <t>TRF-022, TRF-023</t>
  </si>
  <si>
    <t>FLW-015</t>
  </si>
  <si>
    <t>Return traffic for outbound flow (all AZs)</t>
  </si>
  <si>
    <t>Internet &gt; NAT &gt; same appliance/AZ &gt; workload</t>
  </si>
  <si>
    <t>Flow logs and appliance session table; cross-AZ test</t>
  </si>
  <si>
    <t>TRF-023, TRF-024</t>
  </si>
  <si>
    <t>FLW-016</t>
  </si>
  <si>
    <t>Failover</t>
  </si>
  <si>
    <t>Flow behaviour after appliance/AZ failover</t>
  </si>
  <si>
    <t>Flow re-established via surviving AZ appliance without asymmetry</t>
  </si>
  <si>
    <t>Execute UAT-001/UAT-002; observe session and path</t>
  </si>
  <si>
    <t>HAR-008, HAR-017</t>
  </si>
  <si>
    <t>FLW-017</t>
  </si>
  <si>
    <t>FLW-018</t>
  </si>
  <si>
    <t>FLW-019</t>
  </si>
  <si>
    <t>FLW-020</t>
  </si>
  <si>
    <t>FLW-021</t>
  </si>
  <si>
    <t>FLW-022</t>
  </si>
  <si>
    <t>FLW-023</t>
  </si>
  <si>
    <t>FLW-024</t>
  </si>
  <si>
    <t>HIGH AVAILABILITY &amp; RESILIENCE REVIEW</t>
  </si>
  <si>
    <t>SOW 2.3 | Multi-AZ | AZ / NVA / GWLB Target Failure | Route Convergence &amp; Stateful Sessions | Asymmetric Routing | UAT Failover Scenarios</t>
  </si>
  <si>
    <t xml:space="preserve">  Multi-AZ Architecture &amp; Fault Tolerance   (SOW 2.3.1)</t>
  </si>
  <si>
    <t>HAR-001</t>
  </si>
  <si>
    <t>Multi-AZ Architecture &amp; Fault Tolerance</t>
  </si>
  <si>
    <t>Multi-AZ Deployment</t>
  </si>
  <si>
    <t>All breakout components (NAT, GWLB endpoints, appliances, TGW attachment subnets, resolver endpoints) span the number of AZs required by FAB.</t>
  </si>
  <si>
    <t>Component-to-AZ placement matrix, subnet/ENI inventory</t>
  </si>
  <si>
    <t>HAR-002</t>
  </si>
  <si>
    <t>AZ-Independent Routing</t>
  </si>
  <si>
    <t>AZ-local (zonal) routing avoids cross-AZ dependency so an AZ failure does not impair other AZs.</t>
  </si>
  <si>
    <t>Route tables per AZ, cross-AZ path analysis</t>
  </si>
  <si>
    <t>HAR-003</t>
  </si>
  <si>
    <t>Capacity for N-1 AZ</t>
  </si>
  <si>
    <t>Surviving AZs can carry full peak load (throughput, connections, licences) after loss of one AZ.</t>
  </si>
  <si>
    <t>Capacity model, load test results, licence limits</t>
  </si>
  <si>
    <t>HAR-004</t>
  </si>
  <si>
    <t>Single Points of Failure Analysis</t>
  </si>
  <si>
    <t>A documented SPOF analysis covers all components and dependencies (EIPs, DNS, config sync, management plane, identity) with mitigations.</t>
  </si>
  <si>
    <t>SPOF analysis document, dependency map</t>
  </si>
  <si>
    <t>HAR-005</t>
  </si>
  <si>
    <t>Auto Scaling &amp; Self-Healing</t>
  </si>
  <si>
    <t>Appliance fleets use Auto Scaling with health checks, automatic replacement, lifecycle hooks and warm capacity as needed.</t>
  </si>
  <si>
    <t>ASG configuration, lifecycle hooks, replacement test</t>
  </si>
  <si>
    <t>HAR-006</t>
  </si>
  <si>
    <t>Regional Dependencies &amp; Quotas</t>
  </si>
  <si>
    <t>Regional/control-plane dependencies and service quota headroom are understood; a cross-Region DR position is defined if required.</t>
  </si>
  <si>
    <t>Service Quotas, dependency analysis, DR strategy document</t>
  </si>
  <si>
    <t xml:space="preserve">  Failure Scenarios (AZ, NVA, GWLB Target)   (SOW 2.3.2)</t>
  </si>
  <si>
    <t>HAR-007</t>
  </si>
  <si>
    <t>Failure Scenarios (AZ, NVA, GWLB Target)</t>
  </si>
  <si>
    <t>AZ Failure Scenario</t>
  </si>
  <si>
    <t>Behaviour for a full AZ loss is analysed and documented for ingress, egress and east-west paths.</t>
  </si>
  <si>
    <t>Failure mode analysis, architecture walkthrough, UAT scenario</t>
  </si>
  <si>
    <t>HAR-008</t>
  </si>
  <si>
    <t>NVA / Appliance Instance Failure</t>
  </si>
  <si>
    <t>Single appliance failure detection time, flow re-hashing and session impact are understood and within objectives.</t>
  </si>
  <si>
    <t>Health check settings, failure test results</t>
  </si>
  <si>
    <t>HAR-009</t>
  </si>
  <si>
    <t>GWLB Target Failure Handling</t>
  </si>
  <si>
    <t>Target health detection, target failover (rebalance) and deregistration behaviour for existing flows are configured and tested.</t>
  </si>
  <si>
    <t>Target group attributes, failover test with active flows</t>
  </si>
  <si>
    <t>HAR-010</t>
  </si>
  <si>
    <t>GWLB Endpoint / AZ Endpoint Loss</t>
  </si>
  <si>
    <t>Behaviour when a GWLB endpoint or its AZ subnet is unavailable is defined; routes in other AZs remain valid.</t>
  </si>
  <si>
    <t>Route analysis, endpoint failure test</t>
  </si>
  <si>
    <t>HAR-011</t>
  </si>
  <si>
    <t>NAT Gateway Failure</t>
  </si>
  <si>
    <t>Zonal NAT Gateway failure recovery is defined (route failover automation or per-AZ isolation) and tested.</t>
  </si>
  <si>
    <t>NAT failure test, route failover automation review</t>
  </si>
  <si>
    <t>HAR-012</t>
  </si>
  <si>
    <t>TGW Attachment / Inspection VPC Failure</t>
  </si>
  <si>
    <t>Impact of loss of the inspection VPC or its TGW attachment is defined, including fail-open/closed outcome.</t>
  </si>
  <si>
    <t>Failure analysis, controlled attachment test in non-production</t>
  </si>
  <si>
    <t>HAR-013</t>
  </si>
  <si>
    <t>Dependency Failure Behaviour</t>
  </si>
  <si>
    <t>Appliance behaviour is known when licence, management, threat-feed or directory servers are unreachable.</t>
  </si>
  <si>
    <t>Vendor documentation, dependency failure test</t>
  </si>
  <si>
    <t>HAR-014</t>
  </si>
  <si>
    <t>Fail-Open vs Fail-Closed Definition</t>
  </si>
  <si>
    <t>Fail-open or fail-closed behaviour is defined per component, risk-accepted by FAB, and verified.</t>
  </si>
  <si>
    <t>Risk acceptance records, behaviour tests</t>
  </si>
  <si>
    <t xml:space="preserve">  Route Convergence, Recovery &amp; Stateful Sessions   (SOW 2.3.3)</t>
  </si>
  <si>
    <t>HAR-015</t>
  </si>
  <si>
    <t>Route Convergence, Recovery &amp; Stateful Sessions</t>
  </si>
  <si>
    <t>Route Convergence Time</t>
  </si>
  <si>
    <t>Measured convergence for VPC/TGW route changes and BGP (DX/VPN) failover meets the objective.</t>
  </si>
  <si>
    <t>Convergence measurements, BGP timers, synthetic probe results</t>
  </si>
  <si>
    <t>HAR-016</t>
  </si>
  <si>
    <t>Recovery Behaviour &amp; Failback</t>
  </si>
  <si>
    <t>Automatic recovery and failback are defined; no route flapping; hysteresis prevents oscillation.</t>
  </si>
  <si>
    <t>Failback test results, route change logs</t>
  </si>
  <si>
    <t>HAR-017</t>
  </si>
  <si>
    <t>Stateful Session Impact</t>
  </si>
  <si>
    <t>Impact of failover on established TCP, UDP and long-lived sessions (database, SSH, VPN, streaming) is measured and accepted.</t>
  </si>
  <si>
    <t>Session survival tests, appliance state-sync configuration</t>
  </si>
  <si>
    <t>HAR-018</t>
  </si>
  <si>
    <t>Flow Idle Timeout Alignment</t>
  </si>
  <si>
    <t>Idle timeouts across GWLB, NAT, firewall, load balancers and clients are aligned so flows are not silently dropped.</t>
  </si>
  <si>
    <t>Timeout inventory per component, long-idle flow test</t>
  </si>
  <si>
    <t>HAR-019</t>
  </si>
  <si>
    <t>Health Check Tuning</t>
  </si>
  <si>
    <t>Health check intervals and thresholds balance detection speed against flapping and meet RTO.</t>
  </si>
  <si>
    <t>Health check settings, flap analysis, measured detection time</t>
  </si>
  <si>
    <t xml:space="preserve">  Asymmetric Routing Risks   (SOW 2.3.4)</t>
  </si>
  <si>
    <t>HAR-020</t>
  </si>
  <si>
    <t>Asymmetric Routing Risks</t>
  </si>
  <si>
    <t>Asymmetric Routing Risk Analysis</t>
  </si>
  <si>
    <t>Scenarios that create asymmetry (AZ failover, cross-zone LB, appliance mode off, multiple egress paths) are identified and analysed.</t>
  </si>
  <si>
    <t>Risk analysis document, path diagrams per scenario</t>
  </si>
  <si>
    <t>HAR-021</t>
  </si>
  <si>
    <t>Appliance Mode &amp; Zonal Consistency Under Failover</t>
  </si>
  <si>
    <t>Appliance mode is enabled and flow-to-appliance consistency holds during failover.</t>
  </si>
  <si>
    <t>TGW attachment attributes, failover flow tests</t>
  </si>
  <si>
    <t>HAR-022</t>
  </si>
  <si>
    <t>Asymmetry Detection &amp; Alerting</t>
  </si>
  <si>
    <t>Monitoring detects asymmetric or invalid-state flows (e.g., dropped invalid state logs) and alerts operators.</t>
  </si>
  <si>
    <t>Firewall/appliance drop logs, alarm configuration</t>
  </si>
  <si>
    <t>HAR-023</t>
  </si>
  <si>
    <t>Multi-Path &amp; Hybrid Asymmetry Control</t>
  </si>
  <si>
    <t>With DX plus VPN, multiple TGWs or on-premises firewall pairs, return path is controlled (BGP attributes, route priorities).</t>
  </si>
  <si>
    <t>BGP policy, route preference configuration, hybrid path tests</t>
  </si>
  <si>
    <t xml:space="preserve">  Failover Scenarios &amp; UAT Definition   (SOW 2.3.5)</t>
  </si>
  <si>
    <t>HAR-024</t>
  </si>
  <si>
    <t>Failover Scenarios &amp; UAT Definition</t>
  </si>
  <si>
    <t>Failover Scenario Catalogue</t>
  </si>
  <si>
    <t>A complete catalogue of failover scenarios with expected results exists (see UAT Failover Scenarios tab).</t>
  </si>
  <si>
    <t>UAT Failover Scenarios tab, FAB review record</t>
  </si>
  <si>
    <t>HAR-025</t>
  </si>
  <si>
    <t>UAT Test Plan &amp; Success Criteria</t>
  </si>
  <si>
    <t>Measurable pass/fail criteria (RTO, packet loss, session survival) are agreed with FAB for every scenario.</t>
  </si>
  <si>
    <t>UAT test plan, signed success criteria</t>
  </si>
  <si>
    <t>HAR-026</t>
  </si>
  <si>
    <t>Fault Injection Tooling &amp; Safety</t>
  </si>
  <si>
    <t>Fault injection (e.g., AWS FIS or controlled manual actions), traffic generation, monitoring and rollback are prepared with a change window.</t>
  </si>
  <si>
    <t>Test tooling documentation, FIS experiment templates, rollback plan</t>
  </si>
  <si>
    <t>HAR-027</t>
  </si>
  <si>
    <t>Operational Runbooks for Failure Modes</t>
  </si>
  <si>
    <t>Runbooks exist for each failure mode with escalation paths and have been exercised.</t>
  </si>
  <si>
    <t>Runbook inventory, exercise records</t>
  </si>
  <si>
    <t>HAR-028</t>
  </si>
  <si>
    <t>Resilience Monitoring &amp; Alerting</t>
  </si>
  <si>
    <t>CloudWatch alarms and dashboards cover unhealthy targets, NAT port allocation, TGW/GWLB metrics and appliance health with notification routing.</t>
  </si>
  <si>
    <t>Alarm inventory, dashboards, notification test</t>
  </si>
  <si>
    <t>HAR-029</t>
  </si>
  <si>
    <t>Configuration Backup &amp; Recovery</t>
  </si>
  <si>
    <t>Appliance configuration, AMIs/golden images, IaC and licences can restore a failed component quickly; recovery is tested.</t>
  </si>
  <si>
    <t>Backup evidence, redeploy test, licence recovery procedure</t>
  </si>
  <si>
    <t>UAT FAILOVER SCENARIOS</t>
  </si>
  <si>
    <t>SOW 2.3.5 | Practical failover scenarios and expected results for UAT | Enter FAB-agreed target recovery times; results feed the dashboard</t>
  </si>
  <si>
    <t>Scenario ID</t>
  </si>
  <si>
    <t>Failover Scenario</t>
  </si>
  <si>
    <t>Failure Injection / Test Method</t>
  </si>
  <si>
    <t>Expected Behaviour</t>
  </si>
  <si>
    <t>Success Criteria
(FAB to confirm targets)</t>
  </si>
  <si>
    <t>Related Items</t>
  </si>
  <si>
    <t>Target
Recovery (sec)</t>
  </si>
  <si>
    <t>Measured
Recovery (sec)</t>
  </si>
  <si>
    <t>Within
Target?</t>
  </si>
  <si>
    <t>Planned
Date</t>
  </si>
  <si>
    <t>Executed
Date</t>
  </si>
  <si>
    <t>UAT-001</t>
  </si>
  <si>
    <t>Single appliance failure</t>
  </si>
  <si>
    <t>Stop or terminate one appliance instance in one AZ under steady traffic (controlled).</t>
  </si>
  <si>
    <t>GWLB health check marks target unhealthy; new flows go to healthy targets; existing flows behave per configured target-failover; alarms fire.</t>
  </si>
  <si>
    <t>Detection and recovery within FAB-agreed target; session impact per accepted behaviour; alarms and runbook triggered.</t>
  </si>
  <si>
    <t>HAR-008, HAR-009</t>
  </si>
  <si>
    <t>UAT-002</t>
  </si>
  <si>
    <t>All appliances in one AZ fail</t>
  </si>
  <si>
    <t>Stop all appliance instances in one AZ.</t>
  </si>
  <si>
    <t>Traffic for that AZ fails over per design (or is contained); no impact on other AZs; documented fail-open/closed outcome.</t>
  </si>
  <si>
    <t>HAR-007, HAR-008</t>
  </si>
  <si>
    <t>UAT-003</t>
  </si>
  <si>
    <t>Full AZ impairment</t>
  </si>
  <si>
    <t>Simulate AZ loss (AWS FIS AZ scenario or NACL isolation of AZ subnets) in non-production.</t>
  </si>
  <si>
    <t>Surviving AZs carry the load; ingress, egress and east-west remain within agreed objectives.</t>
  </si>
  <si>
    <t>HAR-007, HAR-003</t>
  </si>
  <si>
    <t>UAT-004</t>
  </si>
  <si>
    <t>GWLB target health-check failure</t>
  </si>
  <si>
    <t>Stop the inspection process on an appliance while the instance remains running.</t>
  </si>
  <si>
    <t>Target becomes unhealthy within the configured detection time; flows redistributed; no black-holing.</t>
  </si>
  <si>
    <t>HAR-009, HAR-019</t>
  </si>
  <si>
    <t>UAT-005</t>
  </si>
  <si>
    <t>GWLB endpoint unavailable</t>
  </si>
  <si>
    <t>Blackhole the route to a GWLB endpoint or disable the endpoint subnet path.</t>
  </si>
  <si>
    <t>Behaviour matches design (fail-closed or automated route failover); alarm and runbook trigger.</t>
  </si>
  <si>
    <t>UAT-006</t>
  </si>
  <si>
    <t>NAT Gateway failure in one AZ</t>
  </si>
  <si>
    <t>Remove or isolate one NAT Gateway (route failover test).</t>
  </si>
  <si>
    <t>Zonal failure contained or failed over per design; recovery within objective.</t>
  </si>
  <si>
    <t>UAT-007</t>
  </si>
  <si>
    <t>Inspection VPC / TGW attachment failure</t>
  </si>
  <si>
    <t>Detach or simulate failure of inspection attachment in non-production.</t>
  </si>
  <si>
    <t>Fail-open/closed outcome matches the approved risk acceptance; recovery procedure works.</t>
  </si>
  <si>
    <t>HAR-012, HAR-014</t>
  </si>
  <si>
    <t>UAT-008</t>
  </si>
  <si>
    <t>TGW route change convergence</t>
  </si>
  <si>
    <t>Apply a planned TGW/VPC route change and measure convergence.</t>
  </si>
  <si>
    <t>Convergence within objective; no unintended black-hole; rollback works.</t>
  </si>
  <si>
    <t>HAR-015, MIG-018</t>
  </si>
  <si>
    <t>UAT-009</t>
  </si>
  <si>
    <t>Direct Connect / VPN failure and failback</t>
  </si>
  <si>
    <t>Fail primary DX/VPN path and restore.</t>
  </si>
  <si>
    <t>BGP converges within objective; no asymmetry; failback controlled without flapping.</t>
  </si>
  <si>
    <t>HAR-015, HAR-016, HAR-023</t>
  </si>
  <si>
    <t>UAT-010</t>
  </si>
  <si>
    <t>Asymmetric routing detection</t>
  </si>
  <si>
    <t>Induce asymmetry in a controlled test (e.g., appliance mode off) in non-production.</t>
  </si>
  <si>
    <t>Impact is understood and detection/alerting identifies invalid-state drops.</t>
  </si>
  <si>
    <t>HAR-020, HAR-022</t>
  </si>
  <si>
    <t>UAT-011</t>
  </si>
  <si>
    <t>Appliance scale-out / scale-in</t>
  </si>
  <si>
    <t>Trigger Auto Scaling scale-out and scale-in with active flows.</t>
  </si>
  <si>
    <t>New targets register/healthy before receiving flows; scale-in drains without unexpected resets.</t>
  </si>
  <si>
    <t>UAT-012</t>
  </si>
  <si>
    <t>Long-lived session survival</t>
  </si>
  <si>
    <t>Run long-lived sessions (SSH, database, streaming) during appliance failover.</t>
  </si>
  <si>
    <t>Session impact measured and matches accepted behaviour.</t>
  </si>
  <si>
    <t>HAR-017, HAR-018</t>
  </si>
  <si>
    <t>UAT-013</t>
  </si>
  <si>
    <t>Failback after recovery</t>
  </si>
  <si>
    <t>Restore failed component and observe traffic return.</t>
  </si>
  <si>
    <t>Failback is controlled, no route flapping, session impact within acceptance.</t>
  </si>
  <si>
    <t>UAT-014</t>
  </si>
  <si>
    <t>Dependency failure (licence / management / threat feed)</t>
  </si>
  <si>
    <t>Block appliance access to licence, management and update servers.</t>
  </si>
  <si>
    <t>Appliance behaviour matches documented fail-open/closed; traffic and alarms as expected.</t>
  </si>
  <si>
    <t>HAR-013, HAR-014</t>
  </si>
  <si>
    <t>UAT-015</t>
  </si>
  <si>
    <t>Peak load with one AZ lost (N-1)</t>
  </si>
  <si>
    <t>Generate peak-equivalent traffic and fail one AZ.</t>
  </si>
  <si>
    <t>Surviving AZs sustain the load within throughput, latency and connection limits.</t>
  </si>
  <si>
    <t>UAT-016</t>
  </si>
  <si>
    <t>Rollback of route changes</t>
  </si>
  <si>
    <t>Execute rollback runbook in pre-production against a cutover simulation.</t>
  </si>
  <si>
    <t>Rollback completes within the change window and restoration criteria are met.</t>
  </si>
  <si>
    <t>MIG-009, MIG-013</t>
  </si>
  <si>
    <t>UAT-017</t>
  </si>
  <si>
    <t>UAT-018</t>
  </si>
  <si>
    <t>UAT-019</t>
  </si>
  <si>
    <t>UAT-020</t>
  </si>
  <si>
    <t>UAT-021</t>
  </si>
  <si>
    <t>UAT-022</t>
  </si>
  <si>
    <t>THIRD-PARTY INTEGRATION REVIEW</t>
  </si>
  <si>
    <t>SOW 2.4 | NVAs &amp; Firewalls | IPS/IDS &amp; WAF | Proxy &amp; Inspection Services | GENEVE, Health Checks, Routing, Return Paths, Inspection Chain</t>
  </si>
  <si>
    <t xml:space="preserve">  Network Virtual Appliances &amp; Firewalls   (SOW 2.4.1)</t>
  </si>
  <si>
    <t>TPI-001</t>
  </si>
  <si>
    <t>Network Virtual Appliances &amp; Firewalls</t>
  </si>
  <si>
    <t>NVA Inventory, Versions &amp; Support</t>
  </si>
  <si>
    <t>All NVAs and firewalls are inventoried with vendor, model, version, licensing, support status and patch level.</t>
  </si>
  <si>
    <t>NVA inventory, vendor support portal status</t>
  </si>
  <si>
    <t>TPI-002</t>
  </si>
  <si>
    <t>NVA Sizing &amp; Throughput</t>
  </si>
  <si>
    <t>Instance types, ENA/network bandwidth, packets-per-second and licensed throughput meet peak demand including N-1 capacity.</t>
  </si>
  <si>
    <t>Sizing calculation, vendor performance guide, load test</t>
  </si>
  <si>
    <t>TPI-003</t>
  </si>
  <si>
    <t>NVA Deployment Model</t>
  </si>
  <si>
    <t>Deployment model (GWLB/GENEVE vs route-based; active-active vs active-standby) matches the approved design and vendor guidance.</t>
  </si>
  <si>
    <t>Vendor deployment guide, appliance configuration</t>
  </si>
  <si>
    <t>TPI-004</t>
  </si>
  <si>
    <t>NVA High Availability &amp; State Sync</t>
  </si>
  <si>
    <t>HA mode, configuration synchronisation and session synchronisation behave as documented and are tested.</t>
  </si>
  <si>
    <t>HA configuration, failover test evidence</t>
  </si>
  <si>
    <t>TPI-005</t>
  </si>
  <si>
    <t>NVA Interface &amp; ENI Design</t>
  </si>
  <si>
    <t>Data and management interfaces, source/destination check settings, subnet placement and security groups follow design and vendor requirements.</t>
  </si>
  <si>
    <t>ENI/interface inventory, SG rules, appliance interface config</t>
  </si>
  <si>
    <t>TPI-006</t>
  </si>
  <si>
    <t>Firewall Policy Management</t>
  </si>
  <si>
    <t>Central policy management, rule lifecycle, change control, periodic rule review and logging are in place.</t>
  </si>
  <si>
    <t>Management platform config, rule review records, change tickets</t>
  </si>
  <si>
    <t>TPI-007</t>
  </si>
  <si>
    <t>NVA Bootstrap &amp; Licensing</t>
  </si>
  <si>
    <t>Bootstrapping is automated and licence model (BYOL, PAYG, pooled) and licence server dependency are understood with continuity plans.</t>
  </si>
  <si>
    <t>Bootstrap templates, licence entitlement and server dependency</t>
  </si>
  <si>
    <t>TPI-008</t>
  </si>
  <si>
    <t>NVA Patch &amp; Lifecycle Management</t>
  </si>
  <si>
    <t>Vulnerability patching cadence, blue/green replacement and hardened images are defined and evidenced.</t>
  </si>
  <si>
    <t>Patch records, image pipeline, vulnerability scan results</t>
  </si>
  <si>
    <t xml:space="preserve">  IPS / IDS &amp; WAF Solutions   (SOW 2.4.2)</t>
  </si>
  <si>
    <t>TPI-009</t>
  </si>
  <si>
    <t>IPS / IDS &amp; WAF Solutions</t>
  </si>
  <si>
    <t>IPS/IDS Deployment Mode</t>
  </si>
  <si>
    <t>Inline IPS vs detection-only is defined per segment with fail-open/closed behaviour, signature updates and performance impact known.</t>
  </si>
  <si>
    <t>IPS policy, signature update logs, performance test</t>
  </si>
  <si>
    <t>TPI-010</t>
  </si>
  <si>
    <t>IPS/IDS Tuning &amp; Alert Handling</t>
  </si>
  <si>
    <t>Policies are tuned, exceptions governed, and alerts triaged with SIEM integration.</t>
  </si>
  <si>
    <t>Tuning records, exception register, SIEM correlation</t>
  </si>
  <si>
    <t>TPI-011</t>
  </si>
  <si>
    <t>WAF Placement &amp; Coverage</t>
  </si>
  <si>
    <t>WAF (AWS WAF or third-party) protects all internet-facing applications and its position relative to inspection is as designed.</t>
  </si>
  <si>
    <t>WAF associations, application inventory, WAF rule groups</t>
  </si>
  <si>
    <t>TPI-012</t>
  </si>
  <si>
    <t>WAF Rule Management</t>
  </si>
  <si>
    <t>Managed rule sets, rate limits, bot controls and custom rules are maintained with a count-to-block process and log analysis.</t>
  </si>
  <si>
    <t>WAF rule configuration, logs, rule change history</t>
  </si>
  <si>
    <t>TPI-013</t>
  </si>
  <si>
    <t>WAF/IPS TLS Visibility</t>
  </si>
  <si>
    <t>Decryption capability, certificate management and exclusions for WAF/IPS are defined and functioning.</t>
  </si>
  <si>
    <t>TLS policy, certificate inventory, exception list</t>
  </si>
  <si>
    <t>TPI-014</t>
  </si>
  <si>
    <t>DDoS Protection Integration</t>
  </si>
  <si>
    <t>AWS Shield (Standard/Advanced) and any third-party scrubbing integrate with WAF and load balancers and escalation is defined.</t>
  </si>
  <si>
    <t>Shield configuration, DDoS response plan, integration test</t>
  </si>
  <si>
    <t xml:space="preserve">  Proxy &amp; Security Inspection Services   (SOW 2.4.3)</t>
  </si>
  <si>
    <t>TPI-015</t>
  </si>
  <si>
    <t>Proxy &amp; Security Inspection Services</t>
  </si>
  <si>
    <t>Proxy Architecture</t>
  </si>
  <si>
    <t>Explicit vs transparent proxy design, proxy fleet HA behind NLB/GWLB and client configuration (PAC/WPAD) are documented and implemented.</t>
  </si>
  <si>
    <t>Proxy design, fleet configuration, client settings</t>
  </si>
  <si>
    <t>TPI-016</t>
  </si>
  <si>
    <t>Proxy Policy &amp; Authentication</t>
  </si>
  <si>
    <t>URL filtering categories, user authentication, exemptions and logging are defined and enforced.</t>
  </si>
  <si>
    <t>Proxy policy export, authentication integration, exemption list</t>
  </si>
  <si>
    <t>TPI-017</t>
  </si>
  <si>
    <t>Proxy Bypass Controls</t>
  </si>
  <si>
    <t>Controls (SG, NACL, routes) prevent direct egress that bypasses the proxy; tested.</t>
  </si>
  <si>
    <t>Bypass test results, SG/NACL/route review</t>
  </si>
  <si>
    <t>TPI-018</t>
  </si>
  <si>
    <t>Additional Inspection Services (DLP, Sandbox, SWG, CASB)</t>
  </si>
  <si>
    <t>Dependencies, insertion points, added latency and failure behaviour of additional inspection services are understood.</t>
  </si>
  <si>
    <t>Service inventory, insertion design, latency measurements</t>
  </si>
  <si>
    <t>TPI-019</t>
  </si>
  <si>
    <t>Certificate &amp; Trust Management</t>
  </si>
  <si>
    <t>Inspection CA distribution, rotation and pinned-application exceptions are managed.</t>
  </si>
  <si>
    <t>CA lifecycle documentation, distribution evidence</t>
  </si>
  <si>
    <t xml:space="preserve">  GENEVE, Health Checks, Routing &amp; Return Paths   (SOW 2.4.4)</t>
  </si>
  <si>
    <t>TPI-020</t>
  </si>
  <si>
    <t>GENEVE, Health Checks, Routing &amp; Return Paths</t>
  </si>
  <si>
    <t>GENEVE Compatibility</t>
  </si>
  <si>
    <t>Each appliance and version supports GENEVE (UDP 6081) as required by GWLB and is vendor-supported/tested for this use.</t>
  </si>
  <si>
    <t>Vendor certification/support matrix, GWLB target group protocol settings</t>
  </si>
  <si>
    <t>TPI-021</t>
  </si>
  <si>
    <t>GENEVE MTU &amp; Fragmentation</t>
  </si>
  <si>
    <t>MTU/MSS settings account for GENEVE encapsulation overhead; large packets are not fragmented or dropped; PMTUD behaviour is validated.</t>
  </si>
  <si>
    <t>MTU configuration on appliances/instances, large-packet and PMTUD tests</t>
  </si>
  <si>
    <t>TPI-022</t>
  </si>
  <si>
    <t>Health Check Compatibility</t>
  </si>
  <si>
    <t>Appliances answer GWLB health checks reliably under load and after config changes; SGs permit the health check source.</t>
  </si>
  <si>
    <t>Health check configuration, load-condition health test, SG rules</t>
  </si>
  <si>
    <t>TPI-023</t>
  </si>
  <si>
    <t>Appliance Routing Configuration</t>
  </si>
  <si>
    <t>Appliance-internal routing and interface settings support correct return traffic; appliance does not NAT in GWLB mode where source IP must be preserved.</t>
  </si>
  <si>
    <t>Appliance routing table, NAT policy, packet capture</t>
  </si>
  <si>
    <t>TPI-024</t>
  </si>
  <si>
    <t>Return Path Handling</t>
  </si>
  <si>
    <t>Return traffic is re-encapsulated to the same GWLB flow; no NAT breaks flow stickiness.</t>
  </si>
  <si>
    <t>Packet captures, GWLB flow behaviour test</t>
  </si>
  <si>
    <t>TPI-025</t>
  </si>
  <si>
    <t>Inspection Chain Dependency Mapping</t>
  </si>
  <si>
    <t>Dependencies between chained inspection services (ordering, shared dependencies, failure impact) are mapped.</t>
  </si>
  <si>
    <t>Dependency map, failure impact per hop</t>
  </si>
  <si>
    <t>TPI-026</t>
  </si>
  <si>
    <t>Flow Stickiness &amp; Hash Configuration</t>
  </si>
  <si>
    <t>Stickiness (5-tuple/3-tuple/2-tuple) suits NAT'd or proxied flows and is configured intentionally.</t>
  </si>
  <si>
    <t>Target group stickiness attributes, flow distribution analysis</t>
  </si>
  <si>
    <t>TPI-027</t>
  </si>
  <si>
    <t>Logging &amp; SIEM Integration</t>
  </si>
  <si>
    <t>Appliance logs are shipped to the central SIEM with time sync, retention and parsers; visibility persists during failover.</t>
  </si>
  <si>
    <t>Log pipeline configuration, sample events, failover log continuity</t>
  </si>
  <si>
    <t>TPI-028</t>
  </si>
  <si>
    <t>Vendor Support &amp; Escalation</t>
  </si>
  <si>
    <t>Support entitlements and joint AWS/vendor escalation paths exist for the deployed versions.</t>
  </si>
  <si>
    <t>Support contracts, escalation matrix</t>
  </si>
  <si>
    <t>TPI-029</t>
  </si>
  <si>
    <t>Cost &amp; Licensing Impact</t>
  </si>
  <si>
    <t>Data-processing charges (GWLB, NAT, cross-AZ) and licence scaling under growth are understood.</t>
  </si>
  <si>
    <t>Cost model, Cost Explorer analysis, licence schedule</t>
  </si>
  <si>
    <t>MIGRATION &amp; CUTOVER READINESS REVIEW</t>
  </si>
  <si>
    <t>SOW 2.5 | Migration Strategy &amp; Switchover | Rollback | Dependencies &amp; Black-Hole Windows | Go/No-Go | Production Readiness</t>
  </si>
  <si>
    <t xml:space="preserve">  Migration Strategy &amp; Switchover Sequence   (SOW 2.5.1)</t>
  </si>
  <si>
    <t>MIG-001</t>
  </si>
  <si>
    <t>Migration Strategy &amp; Switchover Sequence</t>
  </si>
  <si>
    <t>Migration Strategy Definition</t>
  </si>
  <si>
    <t>Migration approach (big-bang, phased by VPC/application/environment), rationale, scope and exclusions are defined and approved.</t>
  </si>
  <si>
    <t>Migration strategy document, approval record</t>
  </si>
  <si>
    <t>MIG-002</t>
  </si>
  <si>
    <t>Current-State and Target-State Baseline</t>
  </si>
  <si>
    <t>Current internet paths, egress IPs, firewalls and dependencies are baselined against the target state with a delta analysis.</t>
  </si>
  <si>
    <t>Baseline inventory, gap/delta analysis</t>
  </si>
  <si>
    <t>MIG-003</t>
  </si>
  <si>
    <t>Switchover Sequence Plan</t>
  </si>
  <si>
    <t>An ordered switchover sequence with owners, timings, dependencies and communications exists and has been dry-run.</t>
  </si>
  <si>
    <t>Cutover runbook, dry-run report</t>
  </si>
  <si>
    <t>MIG-004</t>
  </si>
  <si>
    <t>Wave Planning &amp; Pilot</t>
  </si>
  <si>
    <t>A pilot workload and wave criteria are defined; lessons learned feed later waves.</t>
  </si>
  <si>
    <t>Wave plan, pilot results</t>
  </si>
  <si>
    <t>MIG-005</t>
  </si>
  <si>
    <t>Pre-Production Validation Environment</t>
  </si>
  <si>
    <t>A non-production replica of the target design exists with parity to production and test results are recorded.</t>
  </si>
  <si>
    <t>Environment parity comparison, UAT results</t>
  </si>
  <si>
    <t>MIG-006</t>
  </si>
  <si>
    <t>Traffic Baseline &amp; Capacity Validation</t>
  </si>
  <si>
    <t>Peak traffic and connection baselines exist and the target path has been load tested at peak plus headroom.</t>
  </si>
  <si>
    <t>Traffic baseline report, load test results</t>
  </si>
  <si>
    <t>MIG-007</t>
  </si>
  <si>
    <t>External Allow-List &amp; Dependency Changes</t>
  </si>
  <si>
    <t>New egress EIPs/source IPs are allow-listed with partners/SaaS ahead of cutover with lead times tracked.</t>
  </si>
  <si>
    <t>Allow-list register, partner confirmations</t>
  </si>
  <si>
    <t>MIG-008</t>
  </si>
  <si>
    <t>Change Management &amp; Approvals</t>
  </si>
  <si>
    <t>CAB approval, change windows, freezes and stakeholder communications are planned.</t>
  </si>
  <si>
    <t>Change records, communications plan</t>
  </si>
  <si>
    <t xml:space="preserve">  Rollback Readiness   (SOW 2.5.2)</t>
  </si>
  <si>
    <t>MIG-009</t>
  </si>
  <si>
    <t>Rollback Readiness</t>
  </si>
  <si>
    <t>Rollback Procedure</t>
  </si>
  <si>
    <t>A step-by-step rollback procedure with owner and expected execution time is documented and current.</t>
  </si>
  <si>
    <t>Rollback runbook, review record</t>
  </si>
  <si>
    <t>MIG-010</t>
  </si>
  <si>
    <t>Rollback Triggers</t>
  </si>
  <si>
    <t>Objective rollback triggers (error rate, latency, loss, business impact) and decision authority are defined.</t>
  </si>
  <si>
    <t>Trigger criteria document, decision matrix</t>
  </si>
  <si>
    <t>MIG-011</t>
  </si>
  <si>
    <t>Service Restoration Criteria</t>
  </si>
  <si>
    <t>Criteria and validation checks confirm service restoration after rollback.</t>
  </si>
  <si>
    <t>Restoration checklist, synthetic test suite</t>
  </si>
  <si>
    <t>MIG-012</t>
  </si>
  <si>
    <t>Point of No Return Identification</t>
  </si>
  <si>
    <t>Irreversible steps (decommissioning old path, DNS/EIP changes) are identified and gated.</t>
  </si>
  <si>
    <t>Cutover plan gating analysis</t>
  </si>
  <si>
    <t>MIG-013</t>
  </si>
  <si>
    <t>Rollback Rehearsal</t>
  </si>
  <si>
    <t>Rollback has been rehearsed in pre-production and completes within the change window.</t>
  </si>
  <si>
    <t>Rehearsal report with timings</t>
  </si>
  <si>
    <t xml:space="preserve">  Cutover Dependencies &amp; Black-Hole Windows   (SOW 2.5.3)</t>
  </si>
  <si>
    <t>MIG-014</t>
  </si>
  <si>
    <t>Cutover Dependencies &amp; Black-Hole Windows</t>
  </si>
  <si>
    <t>Cutover Dependency Register</t>
  </si>
  <si>
    <t>All cutover dependencies (DNS, identity, routes, allow-lists, certificates, licences, monitoring) are registered with owners and status.</t>
  </si>
  <si>
    <t>Dependency register, owner confirmations</t>
  </si>
  <si>
    <t>MIG-015</t>
  </si>
  <si>
    <t>Traffic Black-Hole Window Analysis</t>
  </si>
  <si>
    <t>Windows during route switchover where traffic could be black-holed are identified, quantified and mitigated (TTL, BGP convergence, draining).</t>
  </si>
  <si>
    <t>Black-hole analysis, route change simulation</t>
  </si>
  <si>
    <t>MIG-016</t>
  </si>
  <si>
    <t>Session Draining &amp; In-Flight Impact</t>
  </si>
  <si>
    <t>Handling of established and long-lived sessions during switchover is planned and communicated.</t>
  </si>
  <si>
    <t>Session inventory, draining plan</t>
  </si>
  <si>
    <t>MIG-017</t>
  </si>
  <si>
    <t>DNS &amp; TTL Management</t>
  </si>
  <si>
    <t>TTLs are lowered ahead of cutover and DNS change sequencing accounts for resolver caching.</t>
  </si>
  <si>
    <t>DNS change plan, TTL records</t>
  </si>
  <si>
    <t>MIG-018</t>
  </si>
  <si>
    <t>Route Change Mechanics</t>
  </si>
  <si>
    <t>Route and TGW change sequence is scripted/IaC-driven, pre-staged and verified with commands/tests.</t>
  </si>
  <si>
    <t>Change scripts, verification checklist</t>
  </si>
  <si>
    <t>MIG-019</t>
  </si>
  <si>
    <t>Monitoring During Cutover</t>
  </si>
  <si>
    <t>Heightened monitoring, dashboards, synthetic checks and a war room with comms are ready.</t>
  </si>
  <si>
    <t>Cutover monitoring plan, dashboard, contact list</t>
  </si>
  <si>
    <t xml:space="preserve">  Go / No-Go Criteria &amp; Governance   (SOW 2.5.4)</t>
  </si>
  <si>
    <t>MIG-020</t>
  </si>
  <si>
    <t>Go / No-Go Criteria &amp; Governance</t>
  </si>
  <si>
    <t>Go/No-Go Criteria Defined</t>
  </si>
  <si>
    <t>Measurable go/no-go criteria covering technical, security, operational and business dimensions are defined (see Go-NoGo Criteria tab).</t>
  </si>
  <si>
    <t>Go-NoGo Criteria tab, FAB approval</t>
  </si>
  <si>
    <t>MIG-021</t>
  </si>
  <si>
    <t>Go/No-Go Governance</t>
  </si>
  <si>
    <t>Decision forum, authority and checkpoint timings are defined and agreed.</t>
  </si>
  <si>
    <t>Governance charter, calendar invites</t>
  </si>
  <si>
    <t>MIG-022</t>
  </si>
  <si>
    <t>Security &amp; Compliance Sign-Off</t>
  </si>
  <si>
    <t>Security review, testing and risk acceptance are complete before go-live.</t>
  </si>
  <si>
    <t>Security sign-off, test reports, risk acceptances</t>
  </si>
  <si>
    <t>MIG-023</t>
  </si>
  <si>
    <t>Operational Readiness Sign-Off</t>
  </si>
  <si>
    <t>Support model, runbooks, training, on-call and monitoring handover are complete.</t>
  </si>
  <si>
    <t>Readiness checklist, training records</t>
  </si>
  <si>
    <t xml:space="preserve">  Production Readiness Recommendation   (SOW 2.5.5)</t>
  </si>
  <si>
    <t>MIG-024</t>
  </si>
  <si>
    <t>Production Readiness Recommendation</t>
  </si>
  <si>
    <t>Production Readiness Review</t>
  </si>
  <si>
    <t>A consolidated readiness recommendation with risks and prerequisites is produced from assessment results.</t>
  </si>
  <si>
    <t>Cutover Readiness Assessment deliverable, dashboard</t>
  </si>
  <si>
    <t>MIG-025</t>
  </si>
  <si>
    <t>Open Risks &amp; Prerequisites Tracking</t>
  </si>
  <si>
    <t>Open findings and risks have owners and required closure timing (before/after go-live).</t>
  </si>
  <si>
    <t>Findings tracker, risk register</t>
  </si>
  <si>
    <t>MIG-026</t>
  </si>
  <si>
    <t>Post-Cutover Validation &amp; Hypercare</t>
  </si>
  <si>
    <t>A validation test suite, hypercare period, success measures and decommission plan are defined.</t>
  </si>
  <si>
    <t>Post-cutover test plan, hypercare rota</t>
  </si>
  <si>
    <t>MIG-027</t>
  </si>
  <si>
    <t>Knowledge Transfer &amp; Documentation Handover</t>
  </si>
  <si>
    <t>KT sessions, as-built documentation and editable diagrams are delivered to FAB.</t>
  </si>
  <si>
    <t>KT schedule, as-built documents, editable source files</t>
  </si>
  <si>
    <t>GO / NO-GO CRITERIA</t>
  </si>
  <si>
    <t>SOW 2.5.4 | Any Blocking criterion that is Not Met or Partially Met gives NO-GO; unanswered Blocking criteria keep the decision PENDING</t>
  </si>
  <si>
    <t>OVERALL DECISION</t>
  </si>
  <si>
    <t>Go / No-Go Criterion</t>
  </si>
  <si>
    <t>Threshold / Definition</t>
  </si>
  <si>
    <t>Blocking?</t>
  </si>
  <si>
    <t>Live Indicator
(from workbook)</t>
  </si>
  <si>
    <t>Comments</t>
  </si>
  <si>
    <t xml:space="preserve">  Technical</t>
  </si>
  <si>
    <t>GNG-001</t>
  </si>
  <si>
    <t>Technical</t>
  </si>
  <si>
    <t>No open Critical findings (closed or formally risk-accepted).</t>
  </si>
  <si>
    <t>Zero open Critical findings.</t>
  </si>
  <si>
    <t>Yes</t>
  </si>
  <si>
    <t>GNG-002</t>
  </si>
  <si>
    <t>No open High findings without approved mitigation or risk acceptance.</t>
  </si>
  <si>
    <t>Zero unmitigated High findings.</t>
  </si>
  <si>
    <t>GNG-003</t>
  </si>
  <si>
    <t>All in-scope traffic flows validated with no failed flow.</t>
  </si>
  <si>
    <t>All Flow Matrix rows Pass.</t>
  </si>
  <si>
    <t>GNG-004</t>
  </si>
  <si>
    <t>Egress inspection bypass tests passed for every VPC and AZ.</t>
  </si>
  <si>
    <t>No bypass path found.</t>
  </si>
  <si>
    <t>GNG-005</t>
  </si>
  <si>
    <t>Return-path symmetry verified for all flows.</t>
  </si>
  <si>
    <t>No asymmetric path under normal operation.</t>
  </si>
  <si>
    <t>GNG-006</t>
  </si>
  <si>
    <t>UAT failover scenarios executed and passed within agreed RTO.</t>
  </si>
  <si>
    <t>All UAT scenarios Pass and within target.</t>
  </si>
  <si>
    <t>GNG-007</t>
  </si>
  <si>
    <t>Capacity test at peak plus headroom passed, including N-1 AZ.</t>
  </si>
  <si>
    <t>Sustained throughput/connections at [FAB to define]% headroom.</t>
  </si>
  <si>
    <t>GNG-008</t>
  </si>
  <si>
    <t>Third-party appliance integration is vendor-supported and validated (GENEVE, health checks, MTU).</t>
  </si>
  <si>
    <t>Vendor support confirmed; validation evidence attached.</t>
  </si>
  <si>
    <t>GNG-009</t>
  </si>
  <si>
    <t>Deployed configuration matches approved design (IaC conformance, no drift).</t>
  </si>
  <si>
    <t>Zero unapproved drift.</t>
  </si>
  <si>
    <t xml:space="preserve">  Security</t>
  </si>
  <si>
    <t>GNG-010</t>
  </si>
  <si>
    <t>Security</t>
  </si>
  <si>
    <t>Security review and sign-off complete (policy, TLS inspection, logging).</t>
  </si>
  <si>
    <t>Signed by FAB security.</t>
  </si>
  <si>
    <t>GNG-011</t>
  </si>
  <si>
    <t>Logging and monitoring operational (flow logs, appliance logs to SIEM, alarms).</t>
  </si>
  <si>
    <t>Logs flowing; alarms tested.</t>
  </si>
  <si>
    <t xml:space="preserve">  Migration</t>
  </si>
  <si>
    <t>GNG-012</t>
  </si>
  <si>
    <t>Migration</t>
  </si>
  <si>
    <t>Rollback procedure documented and rehearsed within the change window.</t>
  </si>
  <si>
    <t>Rehearsal completed within window.</t>
  </si>
  <si>
    <t>GNG-013</t>
  </si>
  <si>
    <t>Rollback triggers and decision authority agreed.</t>
  </si>
  <si>
    <t>Written trigger criteria approved.</t>
  </si>
  <si>
    <t>GNG-014</t>
  </si>
  <si>
    <t>Cutover runbook and switchover sequence approved; dry run completed.</t>
  </si>
  <si>
    <t>Approved runbook; dry-run report.</t>
  </si>
  <si>
    <t>GNG-015</t>
  </si>
  <si>
    <t>Traffic black-hole window analysed, mitigated and accepted.</t>
  </si>
  <si>
    <t>Window quantified and accepted by FAB.</t>
  </si>
  <si>
    <t>GNG-016</t>
  </si>
  <si>
    <t>External allow-lists updated for new egress IPs.</t>
  </si>
  <si>
    <t>All partners/SaaS confirmed.</t>
  </si>
  <si>
    <t>GNG-017</t>
  </si>
  <si>
    <t>DNS TTLs lowered and DNS change sequence ready.</t>
  </si>
  <si>
    <t>TTL reduced ahead of cutover.</t>
  </si>
  <si>
    <t>No</t>
  </si>
  <si>
    <t xml:space="preserve">  Operational</t>
  </si>
  <si>
    <t>GNG-018</t>
  </si>
  <si>
    <t>Operational</t>
  </si>
  <si>
    <t>Support model, runbooks and on-call in place.</t>
  </si>
  <si>
    <t>Runbooks published; on-call rota active.</t>
  </si>
  <si>
    <t>GNG-019</t>
  </si>
  <si>
    <t>Operations team trained and knowledge transfer complete.</t>
  </si>
  <si>
    <t>KT sessions delivered.</t>
  </si>
  <si>
    <t>GNG-020</t>
  </si>
  <si>
    <t>Change approval obtained and change window scheduled.</t>
  </si>
  <si>
    <t>CAB approval recorded.</t>
  </si>
  <si>
    <t>GNG-021</t>
  </si>
  <si>
    <t>Hypercare plan and stakeholder communications ready.</t>
  </si>
  <si>
    <t>Hypercare rota and comms plan approved.</t>
  </si>
  <si>
    <t xml:space="preserve">  Business</t>
  </si>
  <si>
    <t>GNG-022</t>
  </si>
  <si>
    <t>Business</t>
  </si>
  <si>
    <t>Business owner sign-off with acceptable residual risk profile.</t>
  </si>
  <si>
    <t>Signed risk acceptance.</t>
  </si>
  <si>
    <t>GNG-023</t>
  </si>
  <si>
    <t>Remaining risks and prerequisites documented with owners.</t>
  </si>
  <si>
    <t>All open items have owners and dates.</t>
  </si>
  <si>
    <t>INTEGRATION RISK REGISTER</t>
  </si>
  <si>
    <t>SOW deliverable 4 | AWS and third-party interoperability risks, mitigations and ownership | Seeded risks are CANDIDATES to validate, not confirmed findings</t>
  </si>
  <si>
    <t>Risk ID</t>
  </si>
  <si>
    <t>Risk Category</t>
  </si>
  <si>
    <t>Risk Description</t>
  </si>
  <si>
    <t>Component / Interface</t>
  </si>
  <si>
    <t>Likelihood
(1-5)</t>
  </si>
  <si>
    <t>Impact
(1-5)</t>
  </si>
  <si>
    <t>Risk
Score</t>
  </si>
  <si>
    <t>Risk
Rating</t>
  </si>
  <si>
    <t>Mitigation / Recommended Action</t>
  </si>
  <si>
    <t>Risk Owner</t>
  </si>
  <si>
    <t>Owner Party</t>
  </si>
  <si>
    <t>Validation Evidence</t>
  </si>
  <si>
    <t>R-001</t>
  </si>
  <si>
    <t>Third-party / GENEVE</t>
  </si>
  <si>
    <t>GENEVE encapsulation overhead with mismatched MTU/MSS causes fragmentation or drops for large packets and blocked PMTUD.</t>
  </si>
  <si>
    <t>GWLB / NVA interfaces</t>
  </si>
  <si>
    <t>Set and test MTU/MSS end to end; validate with large-packet and PMTUD tests; align with vendor guidance.</t>
  </si>
  <si>
    <t>Candidate - To Validate</t>
  </si>
  <si>
    <t>R-002</t>
  </si>
  <si>
    <t>Third-party / Health checks</t>
  </si>
  <si>
    <t>Appliance health checks fail or flap due to wrong port/protocol, load or security group blocking the health check source, removing healthy targets.</t>
  </si>
  <si>
    <t>GWLB target group / NVA</t>
  </si>
  <si>
    <t>TPI-022, HAR-019</t>
  </si>
  <si>
    <t>Validate health check protocol/port and SG rules; tune thresholds; test under load.</t>
  </si>
  <si>
    <t>R-003</t>
  </si>
  <si>
    <t>AWS / Routing</t>
  </si>
  <si>
    <t>Appliance mode disabled on inspection TGW attachment causing asymmetric flows and stateful firewall drops.</t>
  </si>
  <si>
    <t>TGW attachment</t>
  </si>
  <si>
    <t>ARC-018, HAR-021</t>
  </si>
  <si>
    <t>Enable appliance mode; validate flow symmetry across AZs before cutover.</t>
  </si>
  <si>
    <t>R-004</t>
  </si>
  <si>
    <t>AWS / Load balancing</t>
  </si>
  <si>
    <t>GWLB cross-zone and target-failover settings produce unexpected flow distribution or black-holing of existing flows after target failure.</t>
  </si>
  <si>
    <t>GWLB</t>
  </si>
  <si>
    <t>ARC-035, HAR-009</t>
  </si>
  <si>
    <t>Define and test target-failover and deregistration behaviour; document cross-zone decision.</t>
  </si>
  <si>
    <t>R-005</t>
  </si>
  <si>
    <t>Third-party / Stateful failover</t>
  </si>
  <si>
    <t>No session synchronisation between appliances causes established sessions to reset on failover.</t>
  </si>
  <si>
    <t>NVA HA</t>
  </si>
  <si>
    <t>TPI-004, HAR-017</t>
  </si>
  <si>
    <t>Confirm HA/state-sync mode; test session survival; communicate accepted behaviour.</t>
  </si>
  <si>
    <t>R-006</t>
  </si>
  <si>
    <t>Third-party / Capacity</t>
  </si>
  <si>
    <t>Appliance licence or instance bandwidth limits are below peak load, especially after losing an AZ.</t>
  </si>
  <si>
    <t>NVA fleet</t>
  </si>
  <si>
    <t>TPI-002, HAR-003</t>
  </si>
  <si>
    <t>Load test N-1; align licences and instance sizing; add scaling headroom.</t>
  </si>
  <si>
    <t>R-007</t>
  </si>
  <si>
    <t>Third-party / Configuration</t>
  </si>
  <si>
    <t>Configuration drift between appliances/AZs causes inconsistent policy enforcement.</t>
  </si>
  <si>
    <t>TPI-006, TPI-007</t>
  </si>
  <si>
    <t>Central management with automated bootstrap and config sync; periodic drift checks.</t>
  </si>
  <si>
    <t>R-008</t>
  </si>
  <si>
    <t>Third-party / Fail behaviour</t>
  </si>
  <si>
    <t>Fail-open or fail-closed behaviour of inline IPS/firewall is undefined or unaccepted by FAB.</t>
  </si>
  <si>
    <t>IPS / firewall</t>
  </si>
  <si>
    <t>HAR-014, TPI-009</t>
  </si>
  <si>
    <t>Define, document and risk-accept fail behaviour; verify in UAT.</t>
  </si>
  <si>
    <t>R-009</t>
  </si>
  <si>
    <t>Third-party / Proxy</t>
  </si>
  <si>
    <t>Direct egress paths bypass the proxy or coexist inconsistently with transparent inspection.</t>
  </si>
  <si>
    <t>Proxy / routing</t>
  </si>
  <si>
    <t>TPI-017, TRF-007</t>
  </si>
  <si>
    <t>Block direct egress via routes/SG/NACL; run bypass tests.</t>
  </si>
  <si>
    <t>R-010</t>
  </si>
  <si>
    <t>Third-party / TLS inspection</t>
  </si>
  <si>
    <t>TLS inspection breaks certificate-pinned or mutual-TLS applications, or adds unacceptable latency.</t>
  </si>
  <si>
    <t>Inspection tier</t>
  </si>
  <si>
    <t>TRF-019, TPI-019</t>
  </si>
  <si>
    <t>Maintain exception list; distribute CA; performance-test decrypt path.</t>
  </si>
  <si>
    <t>R-011</t>
  </si>
  <si>
    <t>AWS / NAT</t>
  </si>
  <si>
    <t>NAT Gateway per-destination connection limits or port allocation errors under peak cause intermittent outbound failures.</t>
  </si>
  <si>
    <t>NAT Gateway</t>
  </si>
  <si>
    <t>Monitor ErrorPortAllocation; add NAT/EIPs or spread destinations; alarm on drops.</t>
  </si>
  <si>
    <t>R-012</t>
  </si>
  <si>
    <t>AWS / Ingress</t>
  </si>
  <si>
    <t>Inbound traffic reaches workloads directly, bypassing ingress inspection, due to missing IGW edge route steering.</t>
  </si>
  <si>
    <t>IGW / route tables</t>
  </si>
  <si>
    <t>Configure and test edge association; run external bypass test.</t>
  </si>
  <si>
    <t>R-013</t>
  </si>
  <si>
    <t>AWS / DNS</t>
  </si>
  <si>
    <t>DNS forwarding loops, resolver capacity limits or DNS traffic bypassing inspection cause resolution failures or exfiltration paths.</t>
  </si>
  <si>
    <t>Route 53 Resolver</t>
  </si>
  <si>
    <t>ARC-024, ARC-025</t>
  </si>
  <si>
    <t>Review forwarding rules; block direct port 53; monitor resolver metrics.</t>
  </si>
  <si>
    <t>R-014</t>
  </si>
  <si>
    <t>AWS / Quotas</t>
  </si>
  <si>
    <t>TGW, route table, endpoint or GWLB quota limits are reached during growth or migration waves.</t>
  </si>
  <si>
    <t>TGW / VPC quotas</t>
  </si>
  <si>
    <t>Track quotas and request increases ahead of each wave.</t>
  </si>
  <si>
    <t>R-015</t>
  </si>
  <si>
    <t>AWS / IaC</t>
  </si>
  <si>
    <t>Manual changes or drift from Terraform/CloudFormation mean deployed state differs from the approved design.</t>
  </si>
  <si>
    <t>IaC pipeline</t>
  </si>
  <si>
    <t>ARC-040, ARC-043</t>
  </si>
  <si>
    <t>Enable drift detection; enforce change via pipeline; reconcile before cutover.</t>
  </si>
  <si>
    <t>R-016</t>
  </si>
  <si>
    <t>Migration / Cutover</t>
  </si>
  <si>
    <t>Traffic black-hole during route switchover due to DNS TTL, BGP convergence or in-flight session handling.</t>
  </si>
  <si>
    <t>Cutover plan</t>
  </si>
  <si>
    <t>MIG-015, MIG-016</t>
  </si>
  <si>
    <t>Quantify window; lower TTLs; stage routes; drain sessions; rehearse.</t>
  </si>
  <si>
    <t>R-017</t>
  </si>
  <si>
    <t>Migration / Dependencies</t>
  </si>
  <si>
    <t>Third-party allow-lists are not updated for new egress IPs, causing partner/SaaS outages at cutover.</t>
  </si>
  <si>
    <t>External dependencies</t>
  </si>
  <si>
    <t>Publish new IPs early; obtain written confirmation; track lead times.</t>
  </si>
  <si>
    <t>R-018</t>
  </si>
  <si>
    <t>Third-party / Observability</t>
  </si>
  <si>
    <t>Appliance logs are not centralised, or visibility is lost during failover, hindering troubleshooting and audit.</t>
  </si>
  <si>
    <t>SIEM / logging</t>
  </si>
  <si>
    <t>Ship logs centrally with failover-safe pipeline; test during UAT.</t>
  </si>
  <si>
    <t>R-019</t>
  </si>
  <si>
    <t>R-020</t>
  </si>
  <si>
    <t>R-021</t>
  </si>
  <si>
    <t>R-022</t>
  </si>
  <si>
    <t>R-023</t>
  </si>
  <si>
    <t>R-024</t>
  </si>
  <si>
    <t>R-025</t>
  </si>
  <si>
    <t>R-026</t>
  </si>
  <si>
    <t>R-027</t>
  </si>
  <si>
    <t>R-028</t>
  </si>
  <si>
    <t>R-029</t>
  </si>
  <si>
    <t>R-030</t>
  </si>
  <si>
    <t>R-031</t>
  </si>
  <si>
    <t>R-032</t>
  </si>
  <si>
    <t>R-033</t>
  </si>
  <si>
    <t>R-034</t>
  </si>
  <si>
    <t>R-035</t>
  </si>
  <si>
    <t>R-036</t>
  </si>
  <si>
    <t>FINDINGS &amp; REMEDIATION ACTION PLAN</t>
  </si>
  <si>
    <t>SOW deliverables 1 &amp; 6 | Every finding carries evidence, impact, risk rating, recommendation, dependency and owner | Risk = Likelihood x Impact</t>
  </si>
  <si>
    <t>Finding
ID</t>
  </si>
  <si>
    <t>Source Tab</t>
  </si>
  <si>
    <t>Assessment
Item ID</t>
  </si>
  <si>
    <t>Impact
(Business / Technical)</t>
  </si>
  <si>
    <t>Priority</t>
  </si>
  <si>
    <t>Recommendation /
Remediation Action</t>
  </si>
  <si>
    <t>Closure Evidence</t>
  </si>
  <si>
    <t>FAB Review Comment /
Resolution</t>
  </si>
  <si>
    <t>Rank Key
(helper)</t>
  </si>
  <si>
    <t>F-001</t>
  </si>
  <si>
    <t>F-002</t>
  </si>
  <si>
    <t>F-003</t>
  </si>
  <si>
    <t>F-004</t>
  </si>
  <si>
    <t>F-005</t>
  </si>
  <si>
    <t>F-006</t>
  </si>
  <si>
    <t>F-007</t>
  </si>
  <si>
    <t>F-008</t>
  </si>
  <si>
    <t>F-009</t>
  </si>
  <si>
    <t>F-010</t>
  </si>
  <si>
    <t>F-011</t>
  </si>
  <si>
    <t>F-012</t>
  </si>
  <si>
    <t>F-013</t>
  </si>
  <si>
    <t>F-014</t>
  </si>
  <si>
    <t>F-015</t>
  </si>
  <si>
    <t>F-016</t>
  </si>
  <si>
    <t>F-017</t>
  </si>
  <si>
    <t>F-018</t>
  </si>
  <si>
    <t>F-019</t>
  </si>
  <si>
    <t>F-020</t>
  </si>
  <si>
    <t>F-021</t>
  </si>
  <si>
    <t>F-022</t>
  </si>
  <si>
    <t>F-023</t>
  </si>
  <si>
    <t>F-024</t>
  </si>
  <si>
    <t>F-025</t>
  </si>
  <si>
    <t>F-026</t>
  </si>
  <si>
    <t>F-027</t>
  </si>
  <si>
    <t>F-028</t>
  </si>
  <si>
    <t>F-029</t>
  </si>
  <si>
    <t>F-030</t>
  </si>
  <si>
    <t>F-031</t>
  </si>
  <si>
    <t>F-032</t>
  </si>
  <si>
    <t>F-033</t>
  </si>
  <si>
    <t>F-034</t>
  </si>
  <si>
    <t>F-035</t>
  </si>
  <si>
    <t>F-036</t>
  </si>
  <si>
    <t>F-037</t>
  </si>
  <si>
    <t>F-038</t>
  </si>
  <si>
    <t>F-039</t>
  </si>
  <si>
    <t>F-040</t>
  </si>
  <si>
    <t>F-041</t>
  </si>
  <si>
    <t>F-042</t>
  </si>
  <si>
    <t>F-043</t>
  </si>
  <si>
    <t>F-044</t>
  </si>
  <si>
    <t>F-045</t>
  </si>
  <si>
    <t>F-046</t>
  </si>
  <si>
    <t>F-047</t>
  </si>
  <si>
    <t>F-048</t>
  </si>
  <si>
    <t>F-049</t>
  </si>
  <si>
    <t>F-050</t>
  </si>
  <si>
    <t>F-051</t>
  </si>
  <si>
    <t>F-052</t>
  </si>
  <si>
    <t>F-053</t>
  </si>
  <si>
    <t>F-054</t>
  </si>
  <si>
    <t>F-055</t>
  </si>
  <si>
    <t>F-056</t>
  </si>
  <si>
    <t>F-057</t>
  </si>
  <si>
    <t>F-058</t>
  </si>
  <si>
    <t>F-059</t>
  </si>
  <si>
    <t>F-060</t>
  </si>
  <si>
    <t>DELIVERABLES &amp; ACCEPTANCE TRACKER</t>
  </si>
  <si>
    <t>SOW Section 3 (Key Deliverables) and Section 4 (Partner Responsibilities)</t>
  </si>
  <si>
    <t>No.</t>
  </si>
  <si>
    <t>Deliverable</t>
  </si>
  <si>
    <t>Minimum Content (per SOW)</t>
  </si>
  <si>
    <t>Workbook Source Tab(s)</t>
  </si>
  <si>
    <t>Submitted
Date</t>
  </si>
  <si>
    <t>FAB
Acceptance</t>
  </si>
  <si>
    <t>FAB Review
Comments</t>
  </si>
  <si>
    <t>Architecture Assessment Report</t>
  </si>
  <si>
    <t>Architecture observations, design gaps, risk rating and recommendations.</t>
  </si>
  <si>
    <t>Architecture Review; Findings &amp; Remediation</t>
  </si>
  <si>
    <t>Not Started</t>
  </si>
  <si>
    <t>Pending</t>
  </si>
  <si>
    <t>None</t>
  </si>
  <si>
    <t>Traffic Flow Validation Report</t>
  </si>
  <si>
    <t>Validated ingress, egress and return paths with identified gaps.</t>
  </si>
  <si>
    <t>Traffic Flow Validation; Traffic Flow Matrix</t>
  </si>
  <si>
    <t>Resilience and Failover Review</t>
  </si>
  <si>
    <t>HA assessment, failover scenarios and UAT recommendations.</t>
  </si>
  <si>
    <t>HA &amp; Resilience; UAT Failover Scenarios</t>
  </si>
  <si>
    <t>AWS and third-party interoperability risks, mitigations and ownership.</t>
  </si>
  <si>
    <t>Third-Party Integration; Integration Risk Register</t>
  </si>
  <si>
    <t>Cutover Readiness Assessment</t>
  </si>
  <si>
    <t>Migration risks, rollback readiness, go/no-go criteria and recommendations.</t>
  </si>
  <si>
    <t>Migration &amp; Cutover; Go-NoGo Criteria</t>
  </si>
  <si>
    <t>6</t>
  </si>
  <si>
    <t>Remediation Action Plan</t>
  </si>
  <si>
    <t>Prioritized corrective actions, dependencies, proposed owners and closure evidence.</t>
  </si>
  <si>
    <t>7</t>
  </si>
  <si>
    <t>Final Presentation and KT</t>
  </si>
  <si>
    <t>Management summary, technical walkthrough, Q&amp;A and editable source files.</t>
  </si>
  <si>
    <t>Executive Dashboard; all tabs</t>
  </si>
  <si>
    <t xml:space="preserve">  PARTNER RESPONSIBILITIES (SOW SECTION 4)</t>
  </si>
  <si>
    <t>#</t>
  </si>
  <si>
    <t>Responsibility</t>
  </si>
  <si>
    <t>Live Check (from workbook)</t>
  </si>
  <si>
    <t>Evidence / Notes</t>
  </si>
  <si>
    <t>Assign experienced AWS network and security consultants.</t>
  </si>
  <si>
    <t>Complete scope items and submit deliverables for FAB acceptance.</t>
  </si>
  <si>
    <t>Include evidence, impact, risk rating, recommendation, dependency and owner for each finding.</t>
  </si>
  <si>
    <t>FAB review comments are resolved or formally recorded.</t>
  </si>
  <si>
    <t>Submit final reports, diagrams, risk register and editable artefacts.</t>
  </si>
  <si>
    <t>EXECUTIVE SUMMARY DASHBOARD</t>
  </si>
  <si>
    <t>FAB - AWS Cloud Internet Breakout - Independent Technical Assessment (SOW-aligned)</t>
  </si>
  <si>
    <t>DOMAIN SCORE SUMMARY</t>
  </si>
  <si>
    <t>RAG DISTRIBUTION</t>
  </si>
  <si>
    <t>Assessment Domain</t>
  </si>
  <si>
    <t>Avg Score</t>
  </si>
  <si>
    <t>RAG Status</t>
  </si>
  <si>
    <t>Items
Assessed</t>
  </si>
  <si>
    <t>Total
Items</t>
  </si>
  <si>
    <t>%
Complete</t>
  </si>
  <si>
    <t>Architecture Review (2.1)</t>
  </si>
  <si>
    <t>Traffic Flow Validation (2.2)</t>
  </si>
  <si>
    <t>HA &amp; Resilience (2.3)</t>
  </si>
  <si>
    <t>Third-Party Integration (2.4)</t>
  </si>
  <si>
    <t>Migration &amp; Cutover (2.5)</t>
  </si>
  <si>
    <t>OVERALL</t>
  </si>
  <si>
    <t>TOTAL</t>
  </si>
  <si>
    <t>KEY METRICS</t>
  </si>
  <si>
    <t>TOP 10 FINDINGS BY RISK SCORE</t>
  </si>
  <si>
    <t>Metric</t>
  </si>
  <si>
    <t>Note</t>
  </si>
  <si>
    <t>Finding (ID - Summary)</t>
  </si>
  <si>
    <t>helper</t>
  </si>
  <si>
    <t>Total assessment items</t>
  </si>
  <si>
    <t>Items across the five SOW assessment tabs</t>
  </si>
  <si>
    <t>Items assessed (scored)</t>
  </si>
  <si>
    <t>Assessment completion</t>
  </si>
  <si>
    <t>Overall average score</t>
  </si>
  <si>
    <t>1-5 scale; blank until items are scored</t>
  </si>
  <si>
    <t>Overall RAG</t>
  </si>
  <si>
    <t>RED items without a linked finding</t>
  </si>
  <si>
    <t>Each RED item should have a finding whose Item ID matches</t>
  </si>
  <si>
    <t>Total findings recorded</t>
  </si>
  <si>
    <t>Rows in Findings &amp; Remediation with a summary</t>
  </si>
  <si>
    <t>Critical findings</t>
  </si>
  <si>
    <t>Risk Score &gt;= Critical threshold</t>
  </si>
  <si>
    <t>High findings</t>
  </si>
  <si>
    <t>Medium findings</t>
  </si>
  <si>
    <t>Low findings</t>
  </si>
  <si>
    <t>Open findings</t>
  </si>
  <si>
    <t>Findings in progress</t>
  </si>
  <si>
    <t>ASSESSMENT INFORMATION</t>
  </si>
  <si>
    <t>Findings closed</t>
  </si>
  <si>
    <t>Customer:</t>
  </si>
  <si>
    <t>Findings missing SOW-required attributes</t>
  </si>
  <si>
    <t>Evidence, impact, risk rating, recommendation, dependency, owner</t>
  </si>
  <si>
    <t>Integration risks registered</t>
  </si>
  <si>
    <t>Seeded candidates plus additions</t>
  </si>
  <si>
    <t>Integration risks rated Critical / High</t>
  </si>
  <si>
    <t>UAT scenarios defined</t>
  </si>
  <si>
    <t>UAT scenarios passed</t>
  </si>
  <si>
    <t>UAT scenarios failed / blocked</t>
  </si>
  <si>
    <t>Methodology:</t>
  </si>
  <si>
    <t>SOW technical scope + AWS Well-Architected Framework (Security and Reliability pillars) + AWS Security Reference Architecture + vendor guidance</t>
  </si>
  <si>
    <t>Traffic flows defined</t>
  </si>
  <si>
    <t>Traffic flows validated (Pass)</t>
  </si>
  <si>
    <t>Traffic flows failed</t>
  </si>
  <si>
    <t>Go / No-Go decision</t>
  </si>
  <si>
    <t>From Go-NoGo Criteria tab</t>
  </si>
  <si>
    <t>Deliverables accepted by FAB</t>
  </si>
  <si>
    <t>Of 7 SOW deliverables</t>
  </si>
  <si>
    <t>DISCLAIMER: This workbook reflects the state of the environment at the time of evaluation. Scores and findings must be validated through technical verification and evidence. Seeded flow patterns, UAT scenarios and candidate integration risks are generic starting points and are not findings until validated against FAB's environment. Intended for the assessment team and FAB stakeholders.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</si>
</sst>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2" x14ac:knownFonts="1">
    <font>
      <sz val="11"/>
      <color theme="1"/>
      <name val="Calibri"/>
      <family val="2"/>
      <scheme val="minor"/>
    </font>
    <font>
      <b/>
      <sz val="16"/>
      <color rgb="FFFFFFFF"/>
      <name val="Calibri"/>
    </font>
    <font>
      <b/>
      <sz val="10"/>
      <color rgb="FFD6E4F0"/>
      <name val="Calibri"/>
    </font>
    <font>
      <b/>
      <sz val="10"/>
      <color rgb="FFFFFFFF"/>
      <name val="Calibri"/>
    </font>
    <font>
      <sz val="9"/>
      <color rgb="FF000000"/>
      <name val="Calibri"/>
    </font>
    <font>
      <i/>
      <sz val="9"/>
      <color rgb="FF808080"/>
      <name val="Calibri"/>
    </font>
    <font>
      <b/>
      <sz val="10"/>
      <color rgb="FF0000FF"/>
      <name val="Calibri"/>
    </font>
    <font>
      <b/>
      <sz val="9"/>
      <color rgb="FF000000"/>
      <name val="Calibri"/>
    </font>
    <font>
      <sz val="9"/>
      <color rgb="FF0000FF"/>
      <name val="Calibri"/>
    </font>
    <font>
      <sz val="8"/>
      <color rgb="FFA6A6A6"/>
      <name val="Calibri"/>
    </font>
    <font>
      <b/>
      <sz val="11"/>
      <color rgb="FFFFFFFF"/>
      <name val="Calibri"/>
    </font>
    <font>
      <b/>
      <sz val="14"/>
      <color rgb="FF000000"/>
      <name val="Calibri"/>
    </font>
    <font>
      <b/>
      <sz val="10"/>
      <color rgb="FF1B2A4A"/>
      <name val="Calibri"/>
    </font>
    <font>
      <b/>
      <sz val="10"/>
      <color rgb="FF000000"/>
      <name val="Calibri"/>
    </font>
    <font>
      <b/>
      <sz val="20"/>
      <color rgb="FFFFFFFF"/>
      <name val="Calibri"/>
    </font>
    <font>
      <b/>
      <sz val="12"/>
      <color rgb="FFD6E4F0"/>
      <name val="Calibri"/>
    </font>
    <font>
      <i/>
      <sz val="10"/>
      <color rgb="FFFFFFFF"/>
      <name val="Calibri"/>
    </font>
    <font>
      <sz val="10"/>
      <color rgb="FF000000"/>
      <name val="Calibri"/>
    </font>
    <font>
      <i/>
      <sz val="10"/>
      <color rgb="FF808080"/>
      <name val="Calibri"/>
    </font>
    <font>
      <u/>
      <sz val="10"/>
      <color rgb="FF0563C1"/>
      <name val="Calibri"/>
    </font>
    <font>
      <b/>
      <sz val="11"/>
      <color rgb="FF0000FF"/>
      <name val="Calibri"/>
    </font>
    <font>
      <b/>
      <sz val="18"/>
      <color rgb="FFFFFFFF"/>
      <name val="Calibri"/>
    </font>
  </fonts>
  <fills count="10">
    <fill>
      <patternFill patternType="none"/>
    </fill>
    <fill>
      <patternFill patternType="gray125"/>
    </fill>
    <fill>
      <patternFill patternType="solid">
        <fgColor rgb="FF1B2A4A"/>
      </patternFill>
    </fill>
    <fill>
      <patternFill patternType="solid">
        <fgColor rgb="FF2C3E6B"/>
      </patternFill>
    </fill>
    <fill>
      <patternFill patternType="solid">
        <fgColor rgb="FFEDF2F9"/>
      </patternFill>
    </fill>
    <fill>
      <patternFill patternType="solid">
        <fgColor rgb="FFC00000"/>
      </patternFill>
    </fill>
    <fill>
      <patternFill patternType="solid">
        <fgColor rgb="FFED7D31"/>
      </patternFill>
    </fill>
    <fill>
      <patternFill patternType="solid">
        <fgColor rgb="FF548235"/>
      </patternFill>
    </fill>
    <fill>
      <patternFill patternType="solid">
        <fgColor rgb="FFFFF2CC"/>
      </patternFill>
    </fill>
    <fill>
      <patternFill patternType="solid">
        <fgColor rgb="FFD6E4F0"/>
      </patternFill>
    </fill>
  </fills>
  <borders count="2">
    <border>
      <left/>
      <right/>
      <top/>
      <bottom/>
      <diagonal/>
    </border>
    <border>
      <left style="thin">
        <color rgb="FFB4C6E7"/>
      </left>
      <right style="thin">
        <color rgb="FFB4C6E7"/>
      </right>
      <top style="thin">
        <color rgb="FFB4C6E7"/>
      </top>
      <bottom style="thin">
        <color rgb="FFB4C6E7"/>
      </bottom>
      <diagonal/>
    </border>
  </borders>
  <cellStyleXfs count="1">
    <xf numFmtId="0" fontId="0" fillId="0" borderId="0"/>
  </cellStyleXfs>
  <cellXfs count="77">
    <xf numFmtId="0" fontId="0" fillId="0" borderId="0" xfId="0"/>
    <xf numFmtId="0" fontId="13" fillId="0" borderId="1" xfId="0" applyFont="1" applyBorder="1" applyAlignment="1">
      <alignment vertical="center" wrapText="1"/>
    </xf>
    <xf numFmtId="0" fontId="17" fillId="0" borderId="1" xfId="0" applyFont="1" applyBorder="1" applyAlignment="1">
      <alignment vertical="center" wrapText="1"/>
    </xf>
    <xf numFmtId="0" fontId="3" fillId="2" borderId="1" xfId="0" applyFont="1" applyFill="1" applyBorder="1" applyAlignment="1">
      <alignment horizontal="center" vertical="center" wrapText="1"/>
    </xf>
    <xf numFmtId="0" fontId="13" fillId="4" borderId="1" xfId="0" applyFont="1" applyFill="1" applyBorder="1" applyAlignment="1">
      <alignment vertical="center" wrapText="1"/>
    </xf>
    <xf numFmtId="0" fontId="18" fillId="4" borderId="1" xfId="0" applyFont="1" applyFill="1" applyBorder="1" applyAlignment="1">
      <alignment vertical="center" wrapText="1"/>
    </xf>
    <xf numFmtId="0" fontId="17" fillId="0" borderId="1" xfId="0" applyFont="1" applyBorder="1" applyAlignment="1">
      <alignment horizontal="center" vertical="center" wrapText="1"/>
    </xf>
    <xf numFmtId="0" fontId="19" fillId="0" borderId="1" xfId="0" applyFont="1" applyBorder="1" applyAlignment="1">
      <alignment vertical="center" wrapText="1"/>
    </xf>
    <xf numFmtId="0" fontId="18" fillId="0" borderId="1" xfId="0" applyFont="1" applyBorder="1" applyAlignment="1">
      <alignment vertical="center" wrapText="1"/>
    </xf>
    <xf numFmtId="0" fontId="17" fillId="4" borderId="1" xfId="0" applyFont="1" applyFill="1" applyBorder="1" applyAlignment="1">
      <alignment horizontal="center" vertical="center" wrapText="1"/>
    </xf>
    <xf numFmtId="0" fontId="19" fillId="4" borderId="1" xfId="0" applyFont="1" applyFill="1" applyBorder="1" applyAlignment="1">
      <alignment vertical="center" wrapText="1"/>
    </xf>
    <xf numFmtId="0" fontId="17" fillId="4" borderId="1" xfId="0" applyFont="1" applyFill="1" applyBorder="1" applyAlignment="1">
      <alignment vertical="center" wrapText="1"/>
    </xf>
    <xf numFmtId="164" fontId="17" fillId="4" borderId="1" xfId="0" applyNumberFormat="1" applyFont="1" applyFill="1" applyBorder="1" applyAlignment="1">
      <alignment horizontal="left" vertical="center" wrapText="1"/>
    </xf>
    <xf numFmtId="0" fontId="13" fillId="0" borderId="1" xfId="0" applyFont="1" applyBorder="1" applyAlignment="1">
      <alignment horizontal="center" vertical="center" wrapText="1"/>
    </xf>
    <xf numFmtId="0" fontId="3"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20" fillId="8"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vertical="center" wrapText="1"/>
    </xf>
    <xf numFmtId="164" fontId="4" fillId="0" borderId="1" xfId="0" applyNumberFormat="1" applyFont="1" applyBorder="1" applyAlignment="1">
      <alignment horizontal="center" vertical="center" wrapText="1"/>
    </xf>
    <xf numFmtId="0" fontId="4" fillId="4" borderId="1" xfId="0" applyFont="1" applyFill="1" applyBorder="1" applyAlignment="1">
      <alignment horizontal="center" vertical="center" wrapText="1"/>
    </xf>
    <xf numFmtId="0" fontId="4" fillId="4" borderId="1" xfId="0" applyFont="1" applyFill="1" applyBorder="1" applyAlignment="1">
      <alignment vertical="center" wrapText="1"/>
    </xf>
    <xf numFmtId="164" fontId="4" fillId="4" borderId="1" xfId="0" applyNumberFormat="1" applyFont="1" applyFill="1" applyBorder="1" applyAlignment="1">
      <alignment horizontal="center" vertical="center" wrapText="1"/>
    </xf>
    <xf numFmtId="0" fontId="13" fillId="0" borderId="0" xfId="0" applyFont="1"/>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6" fillId="4"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5" fillId="4" borderId="1" xfId="0" applyFont="1" applyFill="1" applyBorder="1" applyAlignment="1">
      <alignment vertical="center" wrapText="1"/>
    </xf>
    <xf numFmtId="0" fontId="5" fillId="4"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8" fillId="4"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9" fillId="0" borderId="1" xfId="0" applyFont="1" applyBorder="1" applyAlignment="1">
      <alignment vertical="center" wrapText="1"/>
    </xf>
    <xf numFmtId="0" fontId="9" fillId="4" borderId="1" xfId="0" applyFont="1" applyFill="1" applyBorder="1" applyAlignment="1">
      <alignment vertical="center" wrapText="1"/>
    </xf>
    <xf numFmtId="0" fontId="7" fillId="0" borderId="1" xfId="0" applyFont="1" applyBorder="1" applyAlignment="1">
      <alignment vertical="center" wrapText="1"/>
    </xf>
    <xf numFmtId="0" fontId="7" fillId="4" borderId="1" xfId="0" applyFont="1" applyFill="1" applyBorder="1" applyAlignment="1">
      <alignment vertical="center" wrapText="1"/>
    </xf>
    <xf numFmtId="164" fontId="17" fillId="0" borderId="1" xfId="0" applyNumberFormat="1" applyFont="1" applyBorder="1" applyAlignment="1">
      <alignment horizontal="center" vertical="center" wrapText="1"/>
    </xf>
    <xf numFmtId="9" fontId="17" fillId="0" borderId="1" xfId="0" applyNumberFormat="1" applyFont="1" applyBorder="1" applyAlignment="1">
      <alignment horizontal="center" vertical="center" wrapText="1"/>
    </xf>
    <xf numFmtId="0" fontId="13" fillId="9" borderId="1" xfId="0" applyFont="1" applyFill="1" applyBorder="1" applyAlignment="1">
      <alignment vertical="center" wrapText="1"/>
    </xf>
    <xf numFmtId="164" fontId="13" fillId="9" borderId="1" xfId="0" applyNumberFormat="1" applyFont="1" applyFill="1" applyBorder="1" applyAlignment="1">
      <alignment horizontal="center" vertical="center" wrapText="1"/>
    </xf>
    <xf numFmtId="0" fontId="13" fillId="9" borderId="1" xfId="0" applyFont="1" applyFill="1" applyBorder="1" applyAlignment="1">
      <alignment horizontal="center" vertical="center" wrapText="1"/>
    </xf>
    <xf numFmtId="9" fontId="13" fillId="9" borderId="1" xfId="0" applyNumberFormat="1" applyFont="1" applyFill="1" applyBorder="1" applyAlignment="1">
      <alignment horizontal="center" vertical="center" wrapText="1"/>
    </xf>
    <xf numFmtId="0" fontId="9" fillId="0" borderId="0" xfId="0" applyFont="1"/>
    <xf numFmtId="1" fontId="13" fillId="0" borderId="1" xfId="0" applyNumberFormat="1" applyFont="1" applyBorder="1" applyAlignment="1">
      <alignment horizontal="center" vertical="center" wrapText="1"/>
    </xf>
    <xf numFmtId="1" fontId="13" fillId="4" borderId="1" xfId="0" applyNumberFormat="1" applyFont="1" applyFill="1" applyBorder="1" applyAlignment="1">
      <alignment horizontal="center" vertical="center" wrapText="1"/>
    </xf>
    <xf numFmtId="9" fontId="13" fillId="0" borderId="1" xfId="0" applyNumberFormat="1" applyFont="1" applyBorder="1" applyAlignment="1">
      <alignment horizontal="center" vertical="center" wrapText="1"/>
    </xf>
    <xf numFmtId="164" fontId="13" fillId="4" borderId="1" xfId="0" applyNumberFormat="1" applyFont="1" applyFill="1" applyBorder="1" applyAlignment="1">
      <alignment horizontal="center" vertical="center" wrapText="1"/>
    </xf>
    <xf numFmtId="49" fontId="13" fillId="0" borderId="1" xfId="0" applyNumberFormat="1" applyFont="1" applyBorder="1" applyAlignment="1">
      <alignment horizontal="center" vertical="center" wrapText="1"/>
    </xf>
    <xf numFmtId="49" fontId="13" fillId="4" borderId="1" xfId="0" applyNumberFormat="1" applyFont="1" applyFill="1" applyBorder="1" applyAlignment="1">
      <alignment horizontal="center" vertical="center" wrapText="1"/>
    </xf>
    <xf numFmtId="0" fontId="16" fillId="2" borderId="0" xfId="0" applyFont="1" applyFill="1" applyAlignment="1">
      <alignment horizontal="center" vertical="center" wrapText="1"/>
    </xf>
    <xf numFmtId="0" fontId="0" fillId="2" borderId="0" xfId="0" applyFill="1"/>
    <xf numFmtId="0" fontId="17" fillId="0" borderId="1" xfId="0" applyFont="1" applyBorder="1" applyAlignment="1">
      <alignment vertical="center" wrapText="1"/>
    </xf>
    <xf numFmtId="0" fontId="0" fillId="0" borderId="1" xfId="0" applyBorder="1"/>
    <xf numFmtId="0" fontId="15" fillId="2" borderId="0" xfId="0" applyFont="1" applyFill="1" applyAlignment="1">
      <alignment horizontal="center" vertical="center" wrapText="1"/>
    </xf>
    <xf numFmtId="0" fontId="3" fillId="3" borderId="0" xfId="0" applyFont="1" applyFill="1" applyAlignment="1">
      <alignment vertical="center" wrapText="1"/>
    </xf>
    <xf numFmtId="0" fontId="0" fillId="3" borderId="0" xfId="0" applyFill="1"/>
    <xf numFmtId="0" fontId="14" fillId="2" borderId="0" xfId="0" applyFont="1" applyFill="1" applyAlignment="1">
      <alignment horizontal="center" vertical="center" wrapText="1"/>
    </xf>
    <xf numFmtId="0" fontId="5" fillId="0" borderId="0" xfId="0" applyFont="1" applyAlignment="1">
      <alignment vertical="center" wrapText="1"/>
    </xf>
    <xf numFmtId="0" fontId="0" fillId="0" borderId="0" xfId="0"/>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3" fillId="3" borderId="1" xfId="0" applyFont="1" applyFill="1" applyBorder="1" applyAlignment="1">
      <alignment vertical="center" wrapText="1"/>
    </xf>
    <xf numFmtId="0" fontId="0" fillId="3" borderId="1" xfId="0" applyFill="1" applyBorder="1"/>
    <xf numFmtId="0" fontId="10" fillId="2" borderId="1" xfId="0" applyFont="1" applyFill="1" applyBorder="1" applyAlignment="1">
      <alignment horizontal="center" vertical="center" wrapText="1"/>
    </xf>
    <xf numFmtId="0" fontId="12" fillId="0" borderId="1" xfId="0" applyFont="1" applyBorder="1" applyAlignment="1">
      <alignment vertical="center" wrapText="1"/>
    </xf>
    <xf numFmtId="0" fontId="4" fillId="0" borderId="1" xfId="0" applyFont="1" applyBorder="1" applyAlignment="1">
      <alignment vertical="center" wrapText="1"/>
    </xf>
    <xf numFmtId="0" fontId="4" fillId="4" borderId="1" xfId="0" applyFont="1" applyFill="1" applyBorder="1" applyAlignment="1">
      <alignment vertical="center" wrapText="1"/>
    </xf>
    <xf numFmtId="0" fontId="3" fillId="2" borderId="1" xfId="0" applyFont="1" applyFill="1" applyBorder="1" applyAlignment="1">
      <alignment horizontal="center" vertical="center" wrapText="1"/>
    </xf>
    <xf numFmtId="0" fontId="13" fillId="0" borderId="1" xfId="0" applyFont="1" applyBorder="1" applyAlignment="1">
      <alignment vertical="center" wrapText="1"/>
    </xf>
    <xf numFmtId="0" fontId="5" fillId="4" borderId="1" xfId="0" applyFont="1" applyFill="1" applyBorder="1" applyAlignment="1">
      <alignment vertical="center" wrapText="1"/>
    </xf>
    <xf numFmtId="0" fontId="17" fillId="4" borderId="1" xfId="0" applyFont="1" applyFill="1" applyBorder="1" applyAlignment="1">
      <alignment vertical="center" wrapText="1"/>
    </xf>
    <xf numFmtId="0" fontId="5" fillId="0" borderId="1" xfId="0" applyFont="1" applyBorder="1" applyAlignment="1">
      <alignment vertical="center" wrapText="1"/>
    </xf>
    <xf numFmtId="0" fontId="21" fillId="2" borderId="0" xfId="0" applyFont="1" applyFill="1" applyAlignment="1">
      <alignment horizontal="center" vertical="center" wrapText="1"/>
    </xf>
  </cellXfs>
  <cellStyles count="1">
    <cellStyle name="Normal" xfId="0" builtinId="0"/>
  </cellStyles>
  <dxfs count="87">
    <dxf>
      <font>
        <b/>
        <color rgb="FFFFFFFF"/>
        <name val="Calibri"/>
      </font>
      <fill>
        <patternFill patternType="solid">
          <fgColor rgb="FF548235"/>
          <bgColor rgb="FF548235"/>
        </patternFill>
      </fill>
    </dxf>
    <dxf>
      <font>
        <b/>
        <color rgb="FF000000"/>
        <name val="Calibri"/>
      </font>
      <fill>
        <patternFill patternType="solid">
          <fgColor rgb="FFFFC000"/>
          <bgColor rgb="FFFFC000"/>
        </patternFill>
      </fill>
    </dxf>
    <dxf>
      <font>
        <b/>
        <color rgb="FFFFFFFF"/>
        <name val="Calibri"/>
      </font>
      <fill>
        <patternFill patternType="solid">
          <fgColor rgb="FFED7D31"/>
          <bgColor rgb="FFED7D31"/>
        </patternFill>
      </fill>
    </dxf>
    <dxf>
      <font>
        <b/>
        <color rgb="FFFFFFFF"/>
        <name val="Calibri"/>
      </font>
      <fill>
        <patternFill patternType="solid">
          <fgColor rgb="FFC00000"/>
          <bgColor rgb="FFC00000"/>
        </patternFill>
      </fill>
    </dxf>
    <dxf>
      <font>
        <b/>
        <color rgb="FFFFFFFF"/>
        <name val="Calibri"/>
      </font>
      <fill>
        <patternFill patternType="solid">
          <fgColor rgb="FF548235"/>
          <bgColor rgb="FF548235"/>
        </patternFill>
      </fill>
    </dxf>
    <dxf>
      <font>
        <b/>
        <color rgb="FFFFFFFF"/>
        <name val="Calibri"/>
      </font>
      <fill>
        <patternFill patternType="solid">
          <fgColor rgb="FFED7D31"/>
          <bgColor rgb="FFED7D31"/>
        </patternFill>
      </fill>
    </dxf>
    <dxf>
      <font>
        <b/>
        <color rgb="FFFFFFFF"/>
        <name val="Calibri"/>
      </font>
      <fill>
        <patternFill patternType="solid">
          <fgColor rgb="FFC00000"/>
          <bgColor rgb="FFC00000"/>
        </patternFill>
      </fill>
    </dxf>
    <dxf>
      <font>
        <b/>
        <color rgb="FFFFFFFF"/>
        <name val="Calibri"/>
      </font>
      <fill>
        <patternFill patternType="solid">
          <fgColor rgb="FF548235"/>
          <bgColor rgb="FF548235"/>
        </patternFill>
      </fill>
    </dxf>
    <dxf>
      <font>
        <b/>
        <color rgb="FF000000"/>
        <name val="Calibri"/>
      </font>
      <fill>
        <patternFill patternType="solid">
          <fgColor rgb="FFFFC000"/>
          <bgColor rgb="FFFFC000"/>
        </patternFill>
      </fill>
    </dxf>
    <dxf>
      <font>
        <b/>
        <color rgb="FFFFFFFF"/>
        <name val="Calibri"/>
      </font>
      <fill>
        <patternFill patternType="solid">
          <fgColor rgb="FFC00000"/>
          <bgColor rgb="FFC00000"/>
        </patternFill>
      </fill>
    </dxf>
    <dxf>
      <font>
        <b/>
        <color rgb="FFFFFFFF"/>
        <name val="Calibri"/>
      </font>
      <fill>
        <patternFill patternType="solid">
          <fgColor rgb="FF548235"/>
          <bgColor rgb="FF548235"/>
        </patternFill>
      </fill>
    </dxf>
    <dxf>
      <font>
        <b/>
        <color rgb="FFFFFFFF"/>
        <name val="Calibri"/>
      </font>
      <fill>
        <patternFill patternType="solid">
          <fgColor rgb="FFED7D31"/>
          <bgColor rgb="FFED7D31"/>
        </patternFill>
      </fill>
    </dxf>
    <dxf>
      <font>
        <b/>
        <color rgb="FFFFFFFF"/>
        <name val="Calibri"/>
      </font>
      <fill>
        <patternFill patternType="solid">
          <fgColor rgb="FFC00000"/>
          <bgColor rgb="FFC00000"/>
        </patternFill>
      </fill>
    </dxf>
    <dxf>
      <font>
        <b/>
        <color rgb="FF548235"/>
        <name val="Calibri"/>
      </font>
      <fill>
        <patternFill patternType="solid">
          <fgColor rgb="FFE2EFDA"/>
          <bgColor rgb="FFE2EFDA"/>
        </patternFill>
      </fill>
    </dxf>
    <dxf>
      <font>
        <b/>
        <color rgb="FF7F6000"/>
        <name val="Calibri"/>
      </font>
      <fill>
        <patternFill patternType="solid">
          <fgColor rgb="FFFFF2CC"/>
          <bgColor rgb="FFFFF2CC"/>
        </patternFill>
      </fill>
    </dxf>
    <dxf>
      <font>
        <b/>
        <color rgb="FFC00000"/>
        <name val="Calibri"/>
      </font>
      <fill>
        <patternFill patternType="solid">
          <fgColor rgb="FFFDE8E8"/>
          <bgColor rgb="FFFDE8E8"/>
        </patternFill>
      </fill>
    </dxf>
    <dxf>
      <font>
        <b/>
        <color rgb="FFFFFFFF"/>
        <name val="Calibri"/>
      </font>
      <fill>
        <patternFill patternType="solid">
          <fgColor rgb="FFC00000"/>
          <bgColor rgb="FFC00000"/>
        </patternFill>
      </fill>
    </dxf>
    <dxf>
      <font>
        <b/>
        <color rgb="FFFFFFFF"/>
        <name val="Calibri"/>
      </font>
      <fill>
        <patternFill patternType="solid">
          <fgColor rgb="FF548235"/>
          <bgColor rgb="FF548235"/>
        </patternFill>
      </fill>
    </dxf>
    <dxf>
      <font>
        <b/>
        <color rgb="FF7F6000"/>
        <name val="Calibri"/>
      </font>
      <fill>
        <patternFill patternType="solid">
          <fgColor rgb="FFFFF2CC"/>
          <bgColor rgb="FFFFF2CC"/>
        </patternFill>
      </fill>
    </dxf>
    <dxf>
      <font>
        <b/>
        <color rgb="FFFFFFFF"/>
        <name val="Calibri"/>
      </font>
      <fill>
        <patternFill patternType="solid">
          <fgColor rgb="FF548235"/>
          <bgColor rgb="FF548235"/>
        </patternFill>
      </fill>
    </dxf>
    <dxf>
      <font>
        <b/>
        <color rgb="FF7F6000"/>
        <name val="Calibri"/>
      </font>
      <fill>
        <patternFill patternType="solid">
          <fgColor rgb="FFFFF2CC"/>
          <bgColor rgb="FFFFF2CC"/>
        </patternFill>
      </fill>
    </dxf>
    <dxf>
      <font>
        <b/>
        <color rgb="FF7F6000"/>
        <name val="Calibri"/>
      </font>
      <fill>
        <patternFill patternType="solid">
          <fgColor rgb="FFFFF2CC"/>
          <bgColor rgb="FFFFF2CC"/>
        </patternFill>
      </fill>
    </dxf>
    <dxf>
      <font>
        <b/>
        <color rgb="FFFFFFFF"/>
        <name val="Calibri"/>
      </font>
      <fill>
        <patternFill patternType="solid">
          <fgColor rgb="FFC00000"/>
          <bgColor rgb="FFC00000"/>
        </patternFill>
      </fill>
    </dxf>
    <dxf>
      <font>
        <b/>
        <color rgb="FFFFFFFF"/>
        <name val="Calibri"/>
      </font>
      <fill>
        <patternFill patternType="solid">
          <fgColor rgb="FF548235"/>
          <bgColor rgb="FF548235"/>
        </patternFill>
      </fill>
    </dxf>
    <dxf>
      <font>
        <b/>
        <color rgb="FF548235"/>
        <name val="Calibri"/>
      </font>
      <fill>
        <patternFill patternType="solid">
          <fgColor rgb="FFE2EFDA"/>
          <bgColor rgb="FFE2EFDA"/>
        </patternFill>
      </fill>
    </dxf>
    <dxf>
      <font>
        <b/>
        <color rgb="FF7F6000"/>
        <name val="Calibri"/>
      </font>
      <fill>
        <patternFill patternType="solid">
          <fgColor rgb="FFFFF2CC"/>
          <bgColor rgb="FFFFF2CC"/>
        </patternFill>
      </fill>
    </dxf>
    <dxf>
      <font>
        <b/>
        <color rgb="FFC00000"/>
        <name val="Calibri"/>
      </font>
      <fill>
        <patternFill patternType="solid">
          <fgColor rgb="FFFDE8E8"/>
          <bgColor rgb="FFFDE8E8"/>
        </patternFill>
      </fill>
    </dxf>
    <dxf>
      <font>
        <b/>
        <color rgb="FFFFFFFF"/>
        <name val="Calibri"/>
      </font>
      <fill>
        <patternFill patternType="solid">
          <fgColor rgb="FF548235"/>
          <bgColor rgb="FF548235"/>
        </patternFill>
      </fill>
    </dxf>
    <dxf>
      <font>
        <b/>
        <color rgb="FFFFFFFF"/>
        <name val="Calibri"/>
      </font>
      <fill>
        <patternFill patternType="solid">
          <fgColor rgb="FFED7D31"/>
          <bgColor rgb="FFED7D31"/>
        </patternFill>
      </fill>
    </dxf>
    <dxf>
      <font>
        <b/>
        <color rgb="FFFFFFFF"/>
        <name val="Calibri"/>
      </font>
      <fill>
        <patternFill patternType="solid">
          <fgColor rgb="FFC00000"/>
          <bgColor rgb="FFC00000"/>
        </patternFill>
      </fill>
    </dxf>
    <dxf>
      <font>
        <b/>
        <color rgb="FFFFFFFF"/>
        <name val="Calibri"/>
      </font>
      <fill>
        <patternFill patternType="solid">
          <fgColor rgb="FF548235"/>
          <bgColor rgb="FF548235"/>
        </patternFill>
      </fill>
    </dxf>
    <dxf>
      <font>
        <b/>
        <color rgb="FF000000"/>
        <name val="Calibri"/>
      </font>
      <fill>
        <patternFill patternType="solid">
          <fgColor rgb="FFFFC000"/>
          <bgColor rgb="FFFFC000"/>
        </patternFill>
      </fill>
    </dxf>
    <dxf>
      <font>
        <b/>
        <color rgb="FFFFFFFF"/>
        <name val="Calibri"/>
      </font>
      <fill>
        <patternFill patternType="solid">
          <fgColor rgb="FFED7D31"/>
          <bgColor rgb="FFED7D31"/>
        </patternFill>
      </fill>
    </dxf>
    <dxf>
      <font>
        <b/>
        <color rgb="FFFFFFFF"/>
        <name val="Calibri"/>
      </font>
      <fill>
        <patternFill patternType="solid">
          <fgColor rgb="FFC00000"/>
          <bgColor rgb="FFC00000"/>
        </patternFill>
      </fill>
    </dxf>
    <dxf>
      <font>
        <b/>
        <color rgb="FFFFFFFF"/>
        <name val="Calibri"/>
      </font>
      <fill>
        <patternFill patternType="solid">
          <fgColor rgb="FF548235"/>
          <bgColor rgb="FF548235"/>
        </patternFill>
      </fill>
    </dxf>
    <dxf>
      <font>
        <b/>
        <color rgb="FF000000"/>
        <name val="Calibri"/>
      </font>
      <fill>
        <patternFill patternType="solid">
          <fgColor rgb="FFFFC000"/>
          <bgColor rgb="FFFFC000"/>
        </patternFill>
      </fill>
    </dxf>
    <dxf>
      <font>
        <b/>
        <color rgb="FFFFFFFF"/>
        <name val="Calibri"/>
      </font>
      <fill>
        <patternFill patternType="solid">
          <fgColor rgb="FFED7D31"/>
          <bgColor rgb="FFED7D31"/>
        </patternFill>
      </fill>
    </dxf>
    <dxf>
      <font>
        <b/>
        <color rgb="FFFFFFFF"/>
        <name val="Calibri"/>
      </font>
      <fill>
        <patternFill patternType="solid">
          <fgColor rgb="FFC00000"/>
          <bgColor rgb="FFC00000"/>
        </patternFill>
      </fill>
    </dxf>
    <dxf>
      <font>
        <b/>
        <color rgb="FFFFFFFF"/>
        <name val="Calibri"/>
      </font>
      <fill>
        <patternFill patternType="solid">
          <fgColor rgb="FF548235"/>
          <bgColor rgb="FF548235"/>
        </patternFill>
      </fill>
    </dxf>
    <dxf>
      <font>
        <b/>
        <color rgb="FF000000"/>
        <name val="Calibri"/>
      </font>
      <fill>
        <patternFill patternType="solid">
          <fgColor rgb="FFFFC000"/>
          <bgColor rgb="FFFFC000"/>
        </patternFill>
      </fill>
    </dxf>
    <dxf>
      <font>
        <b/>
        <color rgb="FFFFFFFF"/>
        <name val="Calibri"/>
      </font>
      <fill>
        <patternFill patternType="solid">
          <fgColor rgb="FFC00000"/>
          <bgColor rgb="FFC00000"/>
        </patternFill>
      </fill>
    </dxf>
    <dxf>
      <font>
        <b/>
        <color rgb="FFFFFFFF"/>
        <name val="Calibri"/>
      </font>
      <fill>
        <patternFill patternType="solid">
          <fgColor rgb="FF548235"/>
          <bgColor rgb="FF548235"/>
        </patternFill>
      </fill>
    </dxf>
    <dxf>
      <font>
        <b/>
        <color rgb="FF000000"/>
        <name val="Calibri"/>
      </font>
      <fill>
        <patternFill patternType="solid">
          <fgColor rgb="FFFFC000"/>
          <bgColor rgb="FFFFC000"/>
        </patternFill>
      </fill>
    </dxf>
    <dxf>
      <font>
        <b/>
        <color rgb="FFFFFFFF"/>
        <name val="Calibri"/>
      </font>
      <fill>
        <patternFill patternType="solid">
          <fgColor rgb="FFC00000"/>
          <bgColor rgb="FFC00000"/>
        </patternFill>
      </fill>
    </dxf>
    <dxf>
      <font>
        <b/>
        <color rgb="FFFFFFFF"/>
        <name val="Calibri"/>
      </font>
      <fill>
        <patternFill patternType="solid">
          <fgColor rgb="FF548235"/>
          <bgColor rgb="FF548235"/>
        </patternFill>
      </fill>
    </dxf>
    <dxf>
      <font>
        <b/>
        <color rgb="FFFFFFFF"/>
        <name val="Calibri"/>
      </font>
      <fill>
        <patternFill patternType="solid">
          <fgColor rgb="FFED7D31"/>
          <bgColor rgb="FFED7D31"/>
        </patternFill>
      </fill>
    </dxf>
    <dxf>
      <font>
        <b/>
        <color rgb="FFFFFFFF"/>
        <name val="Calibri"/>
      </font>
      <fill>
        <patternFill patternType="solid">
          <fgColor rgb="FFC00000"/>
          <bgColor rgb="FFC00000"/>
        </patternFill>
      </fill>
    </dxf>
    <dxf>
      <font>
        <b/>
        <color rgb="FF548235"/>
        <name val="Calibri"/>
      </font>
      <fill>
        <patternFill patternType="solid">
          <fgColor rgb="FFE2EFDA"/>
          <bgColor rgb="FFE2EFDA"/>
        </patternFill>
      </fill>
    </dxf>
    <dxf>
      <font>
        <b/>
        <color rgb="FF7F6000"/>
        <name val="Calibri"/>
      </font>
      <fill>
        <patternFill patternType="solid">
          <fgColor rgb="FFFFF2CC"/>
          <bgColor rgb="FFFFF2CC"/>
        </patternFill>
      </fill>
    </dxf>
    <dxf>
      <font>
        <b/>
        <color rgb="FFC00000"/>
        <name val="Calibri"/>
      </font>
      <fill>
        <patternFill patternType="solid">
          <fgColor rgb="FFFDE8E8"/>
          <bgColor rgb="FFFDE8E8"/>
        </patternFill>
      </fill>
    </dxf>
    <dxf>
      <font>
        <b/>
        <color rgb="FFFFFFFF"/>
        <name val="Calibri"/>
      </font>
      <fill>
        <patternFill patternType="solid">
          <fgColor rgb="FF548235"/>
          <bgColor rgb="FF548235"/>
        </patternFill>
      </fill>
    </dxf>
    <dxf>
      <font>
        <b/>
        <color rgb="FFFFFFFF"/>
        <name val="Calibri"/>
      </font>
      <fill>
        <patternFill patternType="solid">
          <fgColor rgb="FFED7D31"/>
          <bgColor rgb="FFED7D31"/>
        </patternFill>
      </fill>
    </dxf>
    <dxf>
      <font>
        <b/>
        <color rgb="FFFFFFFF"/>
        <name val="Calibri"/>
      </font>
      <fill>
        <patternFill patternType="solid">
          <fgColor rgb="FFC00000"/>
          <bgColor rgb="FFC00000"/>
        </patternFill>
      </fill>
    </dxf>
    <dxf>
      <font>
        <b/>
        <color rgb="FF548235"/>
        <name val="Calibri"/>
      </font>
      <fill>
        <patternFill patternType="solid">
          <fgColor rgb="FFE2EFDA"/>
          <bgColor rgb="FFE2EFDA"/>
        </patternFill>
      </fill>
    </dxf>
    <dxf>
      <font>
        <b/>
        <color rgb="FF7F6000"/>
        <name val="Calibri"/>
      </font>
      <fill>
        <patternFill patternType="solid">
          <fgColor rgb="FFFFF2CC"/>
          <bgColor rgb="FFFFF2CC"/>
        </patternFill>
      </fill>
    </dxf>
    <dxf>
      <font>
        <b/>
        <color rgb="FFC00000"/>
        <name val="Calibri"/>
      </font>
      <fill>
        <patternFill patternType="solid">
          <fgColor rgb="FFFDE8E8"/>
          <bgColor rgb="FFFDE8E8"/>
        </patternFill>
      </fill>
    </dxf>
    <dxf>
      <font>
        <b/>
        <color rgb="FF7F6000"/>
        <name val="Calibri"/>
      </font>
      <fill>
        <patternFill patternType="solid">
          <fgColor rgb="FFFFF2CC"/>
          <bgColor rgb="FFFFF2CC"/>
        </patternFill>
      </fill>
    </dxf>
    <dxf>
      <font>
        <b/>
        <color rgb="FFFFFFFF"/>
        <name val="Calibri"/>
      </font>
      <fill>
        <patternFill patternType="solid">
          <fgColor rgb="FFED7D31"/>
          <bgColor rgb="FFED7D31"/>
        </patternFill>
      </fill>
    </dxf>
    <dxf>
      <font>
        <b/>
        <color rgb="FFFFFFFF"/>
        <name val="Calibri"/>
      </font>
      <fill>
        <patternFill patternType="solid">
          <fgColor rgb="FFC00000"/>
          <bgColor rgb="FFC00000"/>
        </patternFill>
      </fill>
    </dxf>
    <dxf>
      <font>
        <b/>
        <color rgb="FFFFFFFF"/>
        <name val="Calibri"/>
      </font>
      <fill>
        <patternFill patternType="solid">
          <fgColor rgb="FF548235"/>
          <bgColor rgb="FF548235"/>
        </patternFill>
      </fill>
    </dxf>
    <dxf>
      <font>
        <b/>
        <color rgb="FFC00000"/>
        <name val="Calibri"/>
      </font>
      <fill>
        <patternFill patternType="solid">
          <fgColor rgb="FFFDE8E8"/>
          <bgColor rgb="FFFDE8E8"/>
        </patternFill>
      </fill>
    </dxf>
    <dxf>
      <font>
        <b/>
        <color rgb="FF548235"/>
        <name val="Calibri"/>
      </font>
      <fill>
        <patternFill patternType="solid">
          <fgColor rgb="FFE2EFDA"/>
          <bgColor rgb="FFE2EFDA"/>
        </patternFill>
      </fill>
    </dxf>
    <dxf>
      <font>
        <b/>
        <color rgb="FFFFFFFF"/>
        <name val="Calibri"/>
      </font>
      <fill>
        <patternFill patternType="solid">
          <fgColor rgb="FF548235"/>
          <bgColor rgb="FF548235"/>
        </patternFill>
      </fill>
    </dxf>
    <dxf>
      <font>
        <b/>
        <color rgb="FFFFFFFF"/>
        <name val="Calibri"/>
      </font>
      <fill>
        <patternFill patternType="solid">
          <fgColor rgb="FFED7D31"/>
          <bgColor rgb="FFED7D31"/>
        </patternFill>
      </fill>
    </dxf>
    <dxf>
      <font>
        <b/>
        <color rgb="FFFFFFFF"/>
        <name val="Calibri"/>
      </font>
      <fill>
        <patternFill patternType="solid">
          <fgColor rgb="FFC00000"/>
          <bgColor rgb="FFC00000"/>
        </patternFill>
      </fill>
    </dxf>
    <dxf>
      <font>
        <b/>
        <color rgb="FF548235"/>
        <name val="Calibri"/>
      </font>
      <fill>
        <patternFill patternType="solid">
          <fgColor rgb="FFE2EFDA"/>
          <bgColor rgb="FFE2EFDA"/>
        </patternFill>
      </fill>
    </dxf>
    <dxf>
      <font>
        <b/>
        <color rgb="FF7F6000"/>
        <name val="Calibri"/>
      </font>
      <fill>
        <patternFill patternType="solid">
          <fgColor rgb="FFFFF2CC"/>
          <bgColor rgb="FFFFF2CC"/>
        </patternFill>
      </fill>
    </dxf>
    <dxf>
      <font>
        <b/>
        <color rgb="FFC00000"/>
        <name val="Calibri"/>
      </font>
      <fill>
        <patternFill patternType="solid">
          <fgColor rgb="FFFDE8E8"/>
          <bgColor rgb="FFFDE8E8"/>
        </patternFill>
      </fill>
    </dxf>
    <dxf>
      <font>
        <b/>
        <color rgb="FF7F6000"/>
        <name val="Calibri"/>
      </font>
      <fill>
        <patternFill patternType="solid">
          <fgColor rgb="FFFFF2CC"/>
          <bgColor rgb="FFFFF2CC"/>
        </patternFill>
      </fill>
    </dxf>
    <dxf>
      <font>
        <b/>
        <color rgb="FFFFFFFF"/>
        <name val="Calibri"/>
      </font>
      <fill>
        <patternFill patternType="solid">
          <fgColor rgb="FFC00000"/>
          <bgColor rgb="FFC00000"/>
        </patternFill>
      </fill>
    </dxf>
    <dxf>
      <font>
        <b/>
        <color rgb="FFFFFFFF"/>
        <name val="Calibri"/>
      </font>
      <fill>
        <patternFill patternType="solid">
          <fgColor rgb="FF548235"/>
          <bgColor rgb="FF548235"/>
        </patternFill>
      </fill>
    </dxf>
    <dxf>
      <font>
        <b/>
        <color rgb="FFC00000"/>
        <name val="Calibri"/>
      </font>
      <fill>
        <patternFill patternType="solid">
          <fgColor rgb="FFFDE8E8"/>
          <bgColor rgb="FFFDE8E8"/>
        </patternFill>
      </fill>
    </dxf>
    <dxf>
      <font>
        <b/>
        <color rgb="FF548235"/>
        <name val="Calibri"/>
      </font>
      <fill>
        <patternFill patternType="solid">
          <fgColor rgb="FFE2EFDA"/>
          <bgColor rgb="FFE2EFDA"/>
        </patternFill>
      </fill>
    </dxf>
    <dxf>
      <font>
        <b/>
        <color rgb="FFFFFFFF"/>
        <name val="Calibri"/>
      </font>
      <fill>
        <patternFill patternType="solid">
          <fgColor rgb="FF548235"/>
          <bgColor rgb="FF548235"/>
        </patternFill>
      </fill>
    </dxf>
    <dxf>
      <font>
        <b/>
        <color rgb="FFFFFFFF"/>
        <name val="Calibri"/>
      </font>
      <fill>
        <patternFill patternType="solid">
          <fgColor rgb="FFED7D31"/>
          <bgColor rgb="FFED7D31"/>
        </patternFill>
      </fill>
    </dxf>
    <dxf>
      <font>
        <b/>
        <color rgb="FFFFFFFF"/>
        <name val="Calibri"/>
      </font>
      <fill>
        <patternFill patternType="solid">
          <fgColor rgb="FFC00000"/>
          <bgColor rgb="FFC00000"/>
        </patternFill>
      </fill>
    </dxf>
    <dxf>
      <font>
        <b/>
        <color rgb="FF548235"/>
        <name val="Calibri"/>
      </font>
      <fill>
        <patternFill patternType="solid">
          <fgColor rgb="FFE2EFDA"/>
          <bgColor rgb="FFE2EFDA"/>
        </patternFill>
      </fill>
    </dxf>
    <dxf>
      <font>
        <b/>
        <color rgb="FF7F6000"/>
        <name val="Calibri"/>
      </font>
      <fill>
        <patternFill patternType="solid">
          <fgColor rgb="FFFFF2CC"/>
          <bgColor rgb="FFFFF2CC"/>
        </patternFill>
      </fill>
    </dxf>
    <dxf>
      <font>
        <b/>
        <color rgb="FFC00000"/>
        <name val="Calibri"/>
      </font>
      <fill>
        <patternFill patternType="solid">
          <fgColor rgb="FFFDE8E8"/>
          <bgColor rgb="FFFDE8E8"/>
        </patternFill>
      </fill>
    </dxf>
    <dxf>
      <font>
        <b/>
        <color rgb="FFFFFFFF"/>
        <name val="Calibri"/>
      </font>
      <fill>
        <patternFill patternType="solid">
          <fgColor rgb="FF548235"/>
          <bgColor rgb="FF548235"/>
        </patternFill>
      </fill>
    </dxf>
    <dxf>
      <font>
        <b/>
        <color rgb="FFFFFFFF"/>
        <name val="Calibri"/>
      </font>
      <fill>
        <patternFill patternType="solid">
          <fgColor rgb="FFED7D31"/>
          <bgColor rgb="FFED7D31"/>
        </patternFill>
      </fill>
    </dxf>
    <dxf>
      <font>
        <b/>
        <color rgb="FFFFFFFF"/>
        <name val="Calibri"/>
      </font>
      <fill>
        <patternFill patternType="solid">
          <fgColor rgb="FFC00000"/>
          <bgColor rgb="FFC00000"/>
        </patternFill>
      </fill>
    </dxf>
    <dxf>
      <font>
        <b/>
        <color rgb="FF548235"/>
        <name val="Calibri"/>
      </font>
      <fill>
        <patternFill patternType="solid">
          <fgColor rgb="FFE2EFDA"/>
          <bgColor rgb="FFE2EFDA"/>
        </patternFill>
      </fill>
    </dxf>
    <dxf>
      <font>
        <b/>
        <color rgb="FF7F6000"/>
        <name val="Calibri"/>
      </font>
      <fill>
        <patternFill patternType="solid">
          <fgColor rgb="FFFFF2CC"/>
          <bgColor rgb="FFFFF2CC"/>
        </patternFill>
      </fill>
    </dxf>
    <dxf>
      <font>
        <b/>
        <color rgb="FFC00000"/>
        <name val="Calibri"/>
      </font>
      <fill>
        <patternFill patternType="solid">
          <fgColor rgb="FFFDE8E8"/>
          <bgColor rgb="FFFDE8E8"/>
        </patternFill>
      </fill>
    </dxf>
    <dxf>
      <font>
        <b/>
        <color rgb="FF548235"/>
        <name val="Calibri"/>
      </font>
      <fill>
        <patternFill patternType="solid">
          <fgColor rgb="FFE2EFDA"/>
          <bgColor rgb="FFE2EFDA"/>
        </patternFill>
      </fill>
    </dxf>
    <dxf>
      <font>
        <b/>
        <color rgb="FFFFFFFF"/>
        <name val="Calibri"/>
      </font>
      <fill>
        <patternFill patternType="solid">
          <fgColor rgb="FFC00000"/>
          <bgColor rgb="FFC0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t>Average Score by Domain (1-5)</a:t>
            </a:r>
          </a:p>
        </c:rich>
      </c:tx>
      <c:overlay val="0"/>
    </c:title>
    <c:autoTitleDeleted val="0"/>
    <c:plotArea>
      <c:layout/>
      <c:barChart>
        <c:barDir val="col"/>
        <c:grouping val="clustered"/>
        <c:varyColors val="1"/>
        <c:ser>
          <c:idx val="0"/>
          <c:order val="0"/>
          <c:tx>
            <c:strRef>
              <c:f>'Executive Dashboard'!$C$5</c:f>
              <c:strCache>
                <c:ptCount val="1"/>
                <c:pt idx="0">
                  <c:v>Avg Score</c:v>
                </c:pt>
              </c:strCache>
            </c:strRef>
          </c:tx>
          <c:spPr>
            <a:solidFill>
              <a:srgbClr val="2E75B6"/>
            </a:solidFill>
            <a:ln>
              <a:prstDash val="solid"/>
            </a:ln>
          </c:spPr>
          <c:invertIfNegative val="1"/>
          <c:cat>
            <c:strRef>
              <c:f>'Executive Dashboard'!$B$6:$B$10</c:f>
              <c:strCache>
                <c:ptCount val="5"/>
                <c:pt idx="0">
                  <c:v>Architecture Review (2.1)</c:v>
                </c:pt>
                <c:pt idx="1">
                  <c:v>Traffic Flow Validation (2.2)</c:v>
                </c:pt>
                <c:pt idx="2">
                  <c:v>HA &amp; Resilience (2.3)</c:v>
                </c:pt>
                <c:pt idx="3">
                  <c:v>Third-Party Integration (2.4)</c:v>
                </c:pt>
                <c:pt idx="4">
                  <c:v>Migration &amp; Cutover (2.5)</c:v>
                </c:pt>
              </c:strCache>
            </c:strRef>
          </c:cat>
          <c:val>
            <c:numRef>
              <c:f>'Executive Dashboard'!$C$6:$C$10</c:f>
              <c:numCache>
                <c:formatCode>0.0</c:formatCode>
                <c:ptCount val="5"/>
                <c:pt idx="0">
                  <c:v>0</c:v>
                </c:pt>
                <c:pt idx="1">
                  <c:v>0</c:v>
                </c:pt>
                <c:pt idx="2">
                  <c:v>0</c:v>
                </c:pt>
                <c:pt idx="3">
                  <c:v>0</c:v>
                </c:pt>
                <c:pt idx="4">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7F85-4785-8AA2-13C6E3A7D38F}"/>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5"/>
          <c:min val="0"/>
        </c:scaling>
        <c:delete val="0"/>
        <c:axPos val="l"/>
        <c:majorGridlines>
          <c:spPr>
            <a:ln>
              <a:solidFill>
                <a:srgbClr val="D9D9D9"/>
              </a:solidFill>
              <a:prstDash val="solid"/>
            </a:ln>
          </c:spPr>
        </c:majorGridlines>
        <c:numFmt formatCode="0.0" sourceLinked="1"/>
        <c:majorTickMark val="none"/>
        <c:minorTickMark val="none"/>
        <c:tickLblPos val="nextTo"/>
        <c:crossAx val="10"/>
        <c:crosses val="autoZero"/>
        <c:crossBetween val="between"/>
        <c:majorUnit val="1"/>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t>RAG Distribution by Domain (items)</a:t>
            </a:r>
          </a:p>
        </c:rich>
      </c:tx>
      <c:overlay val="0"/>
    </c:title>
    <c:autoTitleDeleted val="0"/>
    <c:plotArea>
      <c:layout/>
      <c:barChart>
        <c:barDir val="bar"/>
        <c:grouping val="stacked"/>
        <c:varyColors val="1"/>
        <c:ser>
          <c:idx val="0"/>
          <c:order val="0"/>
          <c:tx>
            <c:strRef>
              <c:f>'Executive Dashboard'!$J$5</c:f>
              <c:strCache>
                <c:ptCount val="1"/>
                <c:pt idx="0">
                  <c:v>RED</c:v>
                </c:pt>
              </c:strCache>
            </c:strRef>
          </c:tx>
          <c:spPr>
            <a:solidFill>
              <a:srgbClr val="C00000"/>
            </a:solidFill>
            <a:ln>
              <a:prstDash val="solid"/>
            </a:ln>
          </c:spPr>
          <c:invertIfNegative val="1"/>
          <c:cat>
            <c:strRef>
              <c:f>'Executive Dashboard'!$I$6:$I$10</c:f>
              <c:strCache>
                <c:ptCount val="5"/>
                <c:pt idx="0">
                  <c:v>Architecture Review (2.1)</c:v>
                </c:pt>
                <c:pt idx="1">
                  <c:v>Traffic Flow Validation (2.2)</c:v>
                </c:pt>
                <c:pt idx="2">
                  <c:v>HA &amp; Resilience (2.3)</c:v>
                </c:pt>
                <c:pt idx="3">
                  <c:v>Third-Party Integration (2.4)</c:v>
                </c:pt>
                <c:pt idx="4">
                  <c:v>Migration &amp; Cutover (2.5)</c:v>
                </c:pt>
              </c:strCache>
            </c:strRef>
          </c:cat>
          <c:val>
            <c:numRef>
              <c:f>'Executive Dashboard'!$J$6:$J$10</c:f>
              <c:numCache>
                <c:formatCode>General</c:formatCode>
                <c:ptCount val="5"/>
                <c:pt idx="0">
                  <c:v>0</c:v>
                </c:pt>
                <c:pt idx="1">
                  <c:v>0</c:v>
                </c:pt>
                <c:pt idx="2">
                  <c:v>0</c:v>
                </c:pt>
                <c:pt idx="3">
                  <c:v>0</c:v>
                </c:pt>
                <c:pt idx="4">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30DA-4214-A8FC-B05D49956A84}"/>
            </c:ext>
          </c:extLst>
        </c:ser>
        <c:ser>
          <c:idx val="1"/>
          <c:order val="1"/>
          <c:tx>
            <c:strRef>
              <c:f>'Executive Dashboard'!$K$5</c:f>
              <c:strCache>
                <c:ptCount val="1"/>
                <c:pt idx="0">
                  <c:v>AMBER</c:v>
                </c:pt>
              </c:strCache>
            </c:strRef>
          </c:tx>
          <c:spPr>
            <a:solidFill>
              <a:srgbClr val="ED7D31"/>
            </a:solidFill>
            <a:ln>
              <a:prstDash val="solid"/>
            </a:ln>
          </c:spPr>
          <c:invertIfNegative val="1"/>
          <c:cat>
            <c:strRef>
              <c:f>'Executive Dashboard'!$I$6:$I$10</c:f>
              <c:strCache>
                <c:ptCount val="5"/>
                <c:pt idx="0">
                  <c:v>Architecture Review (2.1)</c:v>
                </c:pt>
                <c:pt idx="1">
                  <c:v>Traffic Flow Validation (2.2)</c:v>
                </c:pt>
                <c:pt idx="2">
                  <c:v>HA &amp; Resilience (2.3)</c:v>
                </c:pt>
                <c:pt idx="3">
                  <c:v>Third-Party Integration (2.4)</c:v>
                </c:pt>
                <c:pt idx="4">
                  <c:v>Migration &amp; Cutover (2.5)</c:v>
                </c:pt>
              </c:strCache>
            </c:strRef>
          </c:cat>
          <c:val>
            <c:numRef>
              <c:f>'Executive Dashboard'!$K$6:$K$10</c:f>
              <c:numCache>
                <c:formatCode>General</c:formatCode>
                <c:ptCount val="5"/>
                <c:pt idx="0">
                  <c:v>0</c:v>
                </c:pt>
                <c:pt idx="1">
                  <c:v>0</c:v>
                </c:pt>
                <c:pt idx="2">
                  <c:v>0</c:v>
                </c:pt>
                <c:pt idx="3">
                  <c:v>0</c:v>
                </c:pt>
                <c:pt idx="4">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30DA-4214-A8FC-B05D49956A84}"/>
            </c:ext>
          </c:extLst>
        </c:ser>
        <c:ser>
          <c:idx val="2"/>
          <c:order val="2"/>
          <c:tx>
            <c:strRef>
              <c:f>'Executive Dashboard'!$L$5</c:f>
              <c:strCache>
                <c:ptCount val="1"/>
                <c:pt idx="0">
                  <c:v>GREEN</c:v>
                </c:pt>
              </c:strCache>
            </c:strRef>
          </c:tx>
          <c:spPr>
            <a:solidFill>
              <a:srgbClr val="548235"/>
            </a:solidFill>
            <a:ln>
              <a:prstDash val="solid"/>
            </a:ln>
          </c:spPr>
          <c:invertIfNegative val="1"/>
          <c:cat>
            <c:strRef>
              <c:f>'Executive Dashboard'!$I$6:$I$10</c:f>
              <c:strCache>
                <c:ptCount val="5"/>
                <c:pt idx="0">
                  <c:v>Architecture Review (2.1)</c:v>
                </c:pt>
                <c:pt idx="1">
                  <c:v>Traffic Flow Validation (2.2)</c:v>
                </c:pt>
                <c:pt idx="2">
                  <c:v>HA &amp; Resilience (2.3)</c:v>
                </c:pt>
                <c:pt idx="3">
                  <c:v>Third-Party Integration (2.4)</c:v>
                </c:pt>
                <c:pt idx="4">
                  <c:v>Migration &amp; Cutover (2.5)</c:v>
                </c:pt>
              </c:strCache>
            </c:strRef>
          </c:cat>
          <c:val>
            <c:numRef>
              <c:f>'Executive Dashboard'!$L$6:$L$10</c:f>
              <c:numCache>
                <c:formatCode>General</c:formatCode>
                <c:ptCount val="5"/>
                <c:pt idx="0">
                  <c:v>0</c:v>
                </c:pt>
                <c:pt idx="1">
                  <c:v>0</c:v>
                </c:pt>
                <c:pt idx="2">
                  <c:v>0</c:v>
                </c:pt>
                <c:pt idx="3">
                  <c:v>0</c:v>
                </c:pt>
                <c:pt idx="4">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2-30DA-4214-A8FC-B05D49956A84}"/>
            </c:ext>
          </c:extLst>
        </c:ser>
        <c:dLbls>
          <c:showLegendKey val="0"/>
          <c:showVal val="0"/>
          <c:showCatName val="0"/>
          <c:showSerName val="0"/>
          <c:showPercent val="0"/>
          <c:showBubbleSize val="0"/>
        </c:dLbls>
        <c:gapWidth val="150"/>
        <c:overlap val="100"/>
        <c:axId val="10"/>
        <c:axId val="100"/>
      </c:ba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min val="0"/>
        </c:scaling>
        <c:delete val="0"/>
        <c:axPos val="b"/>
        <c:majorGridlines>
          <c:spPr>
            <a:ln>
              <a:solidFill>
                <a:srgbClr val="D9D9D9"/>
              </a:solidFill>
              <a:prstDash val="solid"/>
            </a:ln>
          </c:spPr>
        </c:majorGridlines>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xdr:col>
      <xdr:colOff>0</xdr:colOff>
      <xdr:row>12</xdr:row>
      <xdr:rowOff>0</xdr:rowOff>
    </xdr:from>
    <xdr:ext cx="6120000" cy="2700000"/>
    <xdr:graphicFrame macro="">
      <xdr:nvGraphicFramePr>
        <xdr:cNvPr id="2" name="Chart 1">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0</xdr:colOff>
      <xdr:row>12</xdr:row>
      <xdr:rowOff>0</xdr:rowOff>
    </xdr:from>
    <xdr:ext cx="6120000" cy="2700000"/>
    <xdr:graphicFrame macro="">
      <xdr:nvGraphicFramePr>
        <xdr:cNvPr id="3" name="Chart 2">
          <a:extLst>
            <a:ext uri="{FF2B5EF4-FFF2-40B4-BE49-F238E27FC236}">
              <a16:creationId xmlns:a16="http://schemas.microsoft.com/office/drawing/2014/main" id="{00000000-0008-0000-0D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B2A4A"/>
    <pageSetUpPr fitToPage="1"/>
  </sheetPr>
  <dimension ref="B2:G49"/>
  <sheetViews>
    <sheetView showGridLines="0" tabSelected="1" workbookViewId="0"/>
  </sheetViews>
  <sheetFormatPr defaultRowHeight="14.5" x14ac:dyDescent="0.35"/>
  <cols>
    <col min="1" max="1" width="3.7265625" customWidth="1"/>
    <col min="2" max="2" width="35.7265625" customWidth="1"/>
    <col min="3" max="3" width="55.7265625" customWidth="1"/>
    <col min="4" max="4" width="43.90625" customWidth="1"/>
    <col min="5" max="5" width="18.7265625" customWidth="1"/>
    <col min="6" max="6" width="55.7265625" customWidth="1"/>
    <col min="7" max="7" width="46.7265625" customWidth="1"/>
  </cols>
  <sheetData>
    <row r="2" spans="2:7" ht="36" customHeight="1" x14ac:dyDescent="0.35">
      <c r="B2" s="60" t="s">
        <v>0</v>
      </c>
      <c r="C2" s="54"/>
      <c r="D2" s="54"/>
      <c r="E2" s="54"/>
      <c r="F2" s="54"/>
    </row>
    <row r="3" spans="2:7" x14ac:dyDescent="0.35">
      <c r="B3" s="57" t="s">
        <v>1</v>
      </c>
      <c r="C3" s="54"/>
      <c r="D3" s="54"/>
      <c r="E3" s="54"/>
      <c r="F3" s="54"/>
    </row>
    <row r="4" spans="2:7" x14ac:dyDescent="0.35">
      <c r="B4" s="53" t="s">
        <v>2</v>
      </c>
      <c r="C4" s="54"/>
      <c r="D4" s="54"/>
      <c r="E4" s="54"/>
      <c r="F4" s="54"/>
    </row>
    <row r="6" spans="2:7" x14ac:dyDescent="0.35">
      <c r="B6" s="58" t="s">
        <v>3</v>
      </c>
      <c r="C6" s="59"/>
      <c r="E6" s="58" t="s">
        <v>4</v>
      </c>
      <c r="F6" s="59"/>
      <c r="G6" s="59"/>
    </row>
    <row r="7" spans="2:7" x14ac:dyDescent="0.35">
      <c r="B7" s="1" t="s">
        <v>5</v>
      </c>
      <c r="C7" s="2" t="s">
        <v>6</v>
      </c>
      <c r="E7" s="3" t="s">
        <v>7</v>
      </c>
      <c r="F7" s="3" t="s">
        <v>8</v>
      </c>
      <c r="G7" s="3" t="s">
        <v>9</v>
      </c>
    </row>
    <row r="8" spans="2:7" x14ac:dyDescent="0.35">
      <c r="B8" s="4" t="s">
        <v>10</v>
      </c>
      <c r="C8" s="5" t="s">
        <v>11</v>
      </c>
      <c r="E8" s="6">
        <v>1</v>
      </c>
      <c r="F8" s="7" t="s">
        <v>12</v>
      </c>
      <c r="G8" s="2" t="s">
        <v>13</v>
      </c>
    </row>
    <row r="9" spans="2:7" x14ac:dyDescent="0.35">
      <c r="B9" s="1" t="s">
        <v>14</v>
      </c>
      <c r="C9" s="8" t="s">
        <v>15</v>
      </c>
      <c r="E9" s="9">
        <v>2</v>
      </c>
      <c r="F9" s="10" t="s">
        <v>16</v>
      </c>
      <c r="G9" s="11" t="s">
        <v>17</v>
      </c>
    </row>
    <row r="10" spans="2:7" x14ac:dyDescent="0.35">
      <c r="B10" s="4" t="s">
        <v>18</v>
      </c>
      <c r="C10" s="5" t="s">
        <v>19</v>
      </c>
      <c r="E10" s="6">
        <v>3</v>
      </c>
      <c r="F10" s="7" t="s">
        <v>20</v>
      </c>
      <c r="G10" s="2" t="s">
        <v>21</v>
      </c>
    </row>
    <row r="11" spans="2:7" ht="26" x14ac:dyDescent="0.35">
      <c r="B11" s="1" t="s">
        <v>22</v>
      </c>
      <c r="C11" s="8" t="s">
        <v>23</v>
      </c>
      <c r="E11" s="9">
        <v>4</v>
      </c>
      <c r="F11" s="10" t="s">
        <v>24</v>
      </c>
      <c r="G11" s="11" t="s">
        <v>25</v>
      </c>
    </row>
    <row r="12" spans="2:7" x14ac:dyDescent="0.35">
      <c r="B12" s="4" t="s">
        <v>26</v>
      </c>
      <c r="C12" s="5" t="s">
        <v>27</v>
      </c>
      <c r="E12" s="6">
        <v>5</v>
      </c>
      <c r="F12" s="7" t="s">
        <v>28</v>
      </c>
      <c r="G12" s="2" t="s">
        <v>29</v>
      </c>
    </row>
    <row r="13" spans="2:7" ht="30" customHeight="1" x14ac:dyDescent="0.35">
      <c r="B13" s="1" t="s">
        <v>30</v>
      </c>
      <c r="C13" s="2" t="s">
        <v>31</v>
      </c>
      <c r="E13" s="9">
        <v>6</v>
      </c>
      <c r="F13" s="10" t="s">
        <v>32</v>
      </c>
      <c r="G13" s="11" t="s">
        <v>33</v>
      </c>
    </row>
    <row r="14" spans="2:7" x14ac:dyDescent="0.35">
      <c r="B14" s="4" t="s">
        <v>34</v>
      </c>
      <c r="C14" s="5" t="s">
        <v>35</v>
      </c>
      <c r="E14" s="6">
        <v>7</v>
      </c>
      <c r="F14" s="7" t="s">
        <v>36</v>
      </c>
      <c r="G14" s="2" t="s">
        <v>37</v>
      </c>
    </row>
    <row r="15" spans="2:7" ht="26" x14ac:dyDescent="0.35">
      <c r="B15" s="1" t="s">
        <v>38</v>
      </c>
      <c r="C15" s="8" t="s">
        <v>39</v>
      </c>
      <c r="E15" s="9">
        <v>8</v>
      </c>
      <c r="F15" s="10" t="s">
        <v>40</v>
      </c>
      <c r="G15" s="11" t="s">
        <v>41</v>
      </c>
    </row>
    <row r="16" spans="2:7" ht="26" x14ac:dyDescent="0.35">
      <c r="B16" s="4" t="s">
        <v>42</v>
      </c>
      <c r="C16" s="12">
        <v>1</v>
      </c>
      <c r="E16" s="6">
        <v>9</v>
      </c>
      <c r="F16" s="7" t="s">
        <v>43</v>
      </c>
      <c r="G16" s="2" t="s">
        <v>44</v>
      </c>
    </row>
    <row r="17" spans="2:7" x14ac:dyDescent="0.35">
      <c r="B17" s="1" t="s">
        <v>45</v>
      </c>
      <c r="C17" s="2" t="s">
        <v>46</v>
      </c>
      <c r="E17" s="9">
        <v>10</v>
      </c>
      <c r="F17" s="10" t="s">
        <v>47</v>
      </c>
      <c r="G17" s="11" t="s">
        <v>48</v>
      </c>
    </row>
    <row r="18" spans="2:7" x14ac:dyDescent="0.35">
      <c r="E18" s="6">
        <v>11</v>
      </c>
      <c r="F18" s="7" t="s">
        <v>49</v>
      </c>
      <c r="G18" s="2" t="s">
        <v>50</v>
      </c>
    </row>
    <row r="19" spans="2:7" x14ac:dyDescent="0.35">
      <c r="B19" s="58" t="s">
        <v>51</v>
      </c>
      <c r="C19" s="59"/>
      <c r="D19" s="59"/>
      <c r="E19" s="9">
        <v>12</v>
      </c>
      <c r="F19" s="10" t="s">
        <v>52</v>
      </c>
      <c r="G19" s="11" t="s">
        <v>53</v>
      </c>
    </row>
    <row r="20" spans="2:7" x14ac:dyDescent="0.35">
      <c r="B20" s="3" t="s">
        <v>54</v>
      </c>
      <c r="C20" s="3" t="s">
        <v>55</v>
      </c>
      <c r="D20" s="3" t="s">
        <v>9</v>
      </c>
      <c r="E20" s="6">
        <v>13</v>
      </c>
      <c r="F20" s="7" t="s">
        <v>56</v>
      </c>
      <c r="G20" s="2" t="s">
        <v>57</v>
      </c>
    </row>
    <row r="21" spans="2:7" ht="30" customHeight="1" x14ac:dyDescent="0.35">
      <c r="B21" s="13">
        <v>1</v>
      </c>
      <c r="C21" s="2" t="s">
        <v>58</v>
      </c>
      <c r="D21" s="2" t="s">
        <v>59</v>
      </c>
      <c r="E21" s="9">
        <v>14</v>
      </c>
      <c r="F21" s="10" t="s">
        <v>60</v>
      </c>
      <c r="G21" s="11" t="s">
        <v>61</v>
      </c>
    </row>
    <row r="22" spans="2:7" ht="30" customHeight="1" x14ac:dyDescent="0.35">
      <c r="B22" s="13">
        <v>2</v>
      </c>
      <c r="C22" s="2" t="s">
        <v>62</v>
      </c>
      <c r="D22" s="2" t="s">
        <v>63</v>
      </c>
    </row>
    <row r="23" spans="2:7" ht="30" customHeight="1" x14ac:dyDescent="0.35">
      <c r="B23" s="13">
        <v>3</v>
      </c>
      <c r="C23" s="2" t="s">
        <v>64</v>
      </c>
      <c r="D23" s="2" t="s">
        <v>65</v>
      </c>
      <c r="E23" s="58" t="s">
        <v>66</v>
      </c>
      <c r="F23" s="59"/>
      <c r="G23" s="59"/>
    </row>
    <row r="24" spans="2:7" ht="32" customHeight="1" x14ac:dyDescent="0.35">
      <c r="B24" s="13">
        <v>4</v>
      </c>
      <c r="C24" s="2" t="s">
        <v>67</v>
      </c>
      <c r="D24" s="2" t="s">
        <v>68</v>
      </c>
      <c r="E24" s="55" t="s">
        <v>69</v>
      </c>
      <c r="F24" s="56"/>
      <c r="G24" s="56"/>
    </row>
    <row r="25" spans="2:7" ht="32" customHeight="1" x14ac:dyDescent="0.35">
      <c r="B25" s="13">
        <v>5</v>
      </c>
      <c r="C25" s="2" t="s">
        <v>70</v>
      </c>
      <c r="D25" s="2" t="s">
        <v>71</v>
      </c>
      <c r="E25" s="55" t="s">
        <v>72</v>
      </c>
      <c r="F25" s="56"/>
      <c r="G25" s="56"/>
    </row>
    <row r="26" spans="2:7" ht="32" customHeight="1" x14ac:dyDescent="0.35">
      <c r="E26" s="55" t="s">
        <v>73</v>
      </c>
      <c r="F26" s="56"/>
      <c r="G26" s="56"/>
    </row>
    <row r="27" spans="2:7" ht="32" customHeight="1" x14ac:dyDescent="0.35">
      <c r="B27" s="58" t="s">
        <v>74</v>
      </c>
      <c r="C27" s="59"/>
      <c r="D27" s="59"/>
      <c r="E27" s="55" t="s">
        <v>75</v>
      </c>
      <c r="F27" s="56"/>
      <c r="G27" s="56"/>
    </row>
    <row r="28" spans="2:7" ht="32" customHeight="1" x14ac:dyDescent="0.35">
      <c r="B28" s="3" t="s">
        <v>76</v>
      </c>
      <c r="C28" s="3" t="s">
        <v>77</v>
      </c>
      <c r="D28" s="3" t="s">
        <v>78</v>
      </c>
      <c r="E28" s="55" t="s">
        <v>79</v>
      </c>
      <c r="F28" s="56"/>
      <c r="G28" s="56"/>
    </row>
    <row r="29" spans="2:7" ht="32" customHeight="1" x14ac:dyDescent="0.35">
      <c r="B29" s="14" t="s">
        <v>80</v>
      </c>
      <c r="C29" s="2" t="s">
        <v>81</v>
      </c>
      <c r="D29" s="6" t="str">
        <f>TEXT(1,"0.0")&amp;" - "&amp;TEXT(RED_MAX,"0.0")</f>
        <v>1.0 - 2.0</v>
      </c>
      <c r="E29" s="55" t="s">
        <v>82</v>
      </c>
      <c r="F29" s="56"/>
      <c r="G29" s="56"/>
    </row>
    <row r="30" spans="2:7" ht="32" customHeight="1" x14ac:dyDescent="0.35">
      <c r="B30" s="15" t="s">
        <v>83</v>
      </c>
      <c r="C30" s="2" t="s">
        <v>84</v>
      </c>
      <c r="D30" s="6" t="str">
        <f>TEXT(RED_MAX+0.1,"0.0")&amp;" - "&amp;TEXT(AMBER_MAX,"0.0")</f>
        <v>2.1 - 3.5</v>
      </c>
      <c r="E30" s="55" t="s">
        <v>85</v>
      </c>
      <c r="F30" s="56"/>
      <c r="G30" s="56"/>
    </row>
    <row r="31" spans="2:7" ht="32" customHeight="1" x14ac:dyDescent="0.35">
      <c r="B31" s="16" t="s">
        <v>86</v>
      </c>
      <c r="C31" s="2" t="s">
        <v>87</v>
      </c>
      <c r="D31" s="6" t="str">
        <f>TEXT(AMBER_MAX+0.1,"0.0")&amp;" - "&amp;TEXT(5,"0.0")</f>
        <v>3.6 - 5.0</v>
      </c>
      <c r="E31" s="55" t="s">
        <v>88</v>
      </c>
      <c r="F31" s="56"/>
      <c r="G31" s="56"/>
    </row>
    <row r="32" spans="2:7" ht="32" customHeight="1" x14ac:dyDescent="0.35">
      <c r="E32" s="55" t="s">
        <v>89</v>
      </c>
      <c r="F32" s="56"/>
      <c r="G32" s="56"/>
    </row>
    <row r="33" spans="2:7" ht="32" customHeight="1" x14ac:dyDescent="0.35">
      <c r="B33" s="58" t="s">
        <v>90</v>
      </c>
      <c r="C33" s="59"/>
      <c r="D33" s="59"/>
      <c r="E33" s="55" t="s">
        <v>91</v>
      </c>
      <c r="F33" s="56"/>
      <c r="G33" s="56"/>
    </row>
    <row r="34" spans="2:7" x14ac:dyDescent="0.35">
      <c r="B34" s="3" t="s">
        <v>92</v>
      </c>
      <c r="C34" s="3" t="s">
        <v>93</v>
      </c>
      <c r="D34" s="3" t="s">
        <v>94</v>
      </c>
    </row>
    <row r="35" spans="2:7" ht="44" customHeight="1" x14ac:dyDescent="0.35">
      <c r="B35" s="2" t="s">
        <v>95</v>
      </c>
      <c r="C35" s="17">
        <v>2</v>
      </c>
      <c r="D35" s="2" t="s">
        <v>96</v>
      </c>
    </row>
    <row r="36" spans="2:7" ht="44" customHeight="1" x14ac:dyDescent="0.35">
      <c r="B36" s="2" t="s">
        <v>97</v>
      </c>
      <c r="C36" s="17">
        <v>3.5</v>
      </c>
      <c r="D36" s="2" t="s">
        <v>98</v>
      </c>
    </row>
    <row r="37" spans="2:7" ht="44" customHeight="1" x14ac:dyDescent="0.35">
      <c r="B37" s="2" t="s">
        <v>99</v>
      </c>
      <c r="C37" s="17">
        <v>20</v>
      </c>
      <c r="D37" s="2" t="s">
        <v>100</v>
      </c>
    </row>
    <row r="38" spans="2:7" ht="44" customHeight="1" x14ac:dyDescent="0.35">
      <c r="B38" s="2" t="s">
        <v>101</v>
      </c>
      <c r="C38" s="17">
        <v>12</v>
      </c>
      <c r="D38" s="2" t="s">
        <v>102</v>
      </c>
    </row>
    <row r="39" spans="2:7" ht="44" customHeight="1" x14ac:dyDescent="0.35">
      <c r="B39" s="2" t="s">
        <v>103</v>
      </c>
      <c r="C39" s="17">
        <v>6</v>
      </c>
      <c r="D39" s="2" t="s">
        <v>104</v>
      </c>
    </row>
    <row r="41" spans="2:7" x14ac:dyDescent="0.35">
      <c r="B41" s="58" t="s">
        <v>105</v>
      </c>
      <c r="C41" s="59"/>
      <c r="D41" s="59"/>
    </row>
    <row r="42" spans="2:7" ht="32" customHeight="1" x14ac:dyDescent="0.35">
      <c r="B42" s="1" t="s">
        <v>106</v>
      </c>
      <c r="C42" s="2" t="s">
        <v>107</v>
      </c>
      <c r="D42" s="8" t="s">
        <v>108</v>
      </c>
    </row>
    <row r="43" spans="2:7" ht="32" customHeight="1" x14ac:dyDescent="0.35">
      <c r="B43" s="1" t="s">
        <v>109</v>
      </c>
      <c r="C43" s="2" t="s">
        <v>110</v>
      </c>
      <c r="D43" s="8" t="s">
        <v>111</v>
      </c>
    </row>
    <row r="44" spans="2:7" ht="32" customHeight="1" x14ac:dyDescent="0.35">
      <c r="B44" s="1" t="s">
        <v>112</v>
      </c>
      <c r="C44" s="2" t="s">
        <v>113</v>
      </c>
      <c r="D44" s="8" t="s">
        <v>114</v>
      </c>
    </row>
    <row r="45" spans="2:7" ht="32" customHeight="1" x14ac:dyDescent="0.35">
      <c r="B45" s="1" t="s">
        <v>115</v>
      </c>
      <c r="C45" s="2" t="s">
        <v>116</v>
      </c>
      <c r="D45" s="8" t="s">
        <v>117</v>
      </c>
    </row>
    <row r="46" spans="2:7" ht="32" customHeight="1" x14ac:dyDescent="0.35">
      <c r="B46" s="1" t="s">
        <v>118</v>
      </c>
      <c r="C46" s="2" t="s">
        <v>119</v>
      </c>
      <c r="D46" s="8" t="s">
        <v>120</v>
      </c>
    </row>
    <row r="47" spans="2:7" ht="32" customHeight="1" x14ac:dyDescent="0.35">
      <c r="B47" s="1" t="s">
        <v>121</v>
      </c>
      <c r="C47" s="2" t="s">
        <v>122</v>
      </c>
      <c r="D47" s="8" t="s">
        <v>123</v>
      </c>
    </row>
    <row r="48" spans="2:7" ht="32" customHeight="1" x14ac:dyDescent="0.35">
      <c r="B48" s="1" t="s">
        <v>124</v>
      </c>
      <c r="C48" s="2" t="s">
        <v>125</v>
      </c>
      <c r="D48" s="8" t="s">
        <v>126</v>
      </c>
    </row>
    <row r="49" spans="2:7" ht="30" customHeight="1" x14ac:dyDescent="0.35">
      <c r="B49" s="61" t="s">
        <v>127</v>
      </c>
      <c r="C49" s="62"/>
      <c r="D49" s="62"/>
      <c r="E49" s="62"/>
      <c r="F49" s="62"/>
      <c r="G49" s="62"/>
    </row>
  </sheetData>
  <mergeCells count="21">
    <mergeCell ref="B2:F2"/>
    <mergeCell ref="E27:G27"/>
    <mergeCell ref="B49:G49"/>
    <mergeCell ref="E26:G26"/>
    <mergeCell ref="E25:G25"/>
    <mergeCell ref="B33:D33"/>
    <mergeCell ref="E32:G32"/>
    <mergeCell ref="B41:D41"/>
    <mergeCell ref="B6:C6"/>
    <mergeCell ref="E24:G24"/>
    <mergeCell ref="E33:G33"/>
    <mergeCell ref="E23:G23"/>
    <mergeCell ref="B27:D27"/>
    <mergeCell ref="E29:G29"/>
    <mergeCell ref="B4:F4"/>
    <mergeCell ref="E28:G28"/>
    <mergeCell ref="B3:F3"/>
    <mergeCell ref="E31:G31"/>
    <mergeCell ref="E30:G30"/>
    <mergeCell ref="E6:G6"/>
    <mergeCell ref="B19:D19"/>
  </mergeCells>
  <hyperlinks>
    <hyperlink ref="F8" location="'Cover &amp; Instructions'!A1" display="Cover &amp; Instructions" xr:uid="{00000000-0004-0000-0000-000000000000}"/>
    <hyperlink ref="F9" location="'SOW Traceability'!A1" display="SOW Traceability" xr:uid="{00000000-0004-0000-0000-000001000000}"/>
    <hyperlink ref="F10" location="'Architecture Review'!A1" display="Architecture Review" xr:uid="{00000000-0004-0000-0000-000002000000}"/>
    <hyperlink ref="F11" location="'Traffic Flow Validation'!A1" display="Traffic Flow Validation" xr:uid="{00000000-0004-0000-0000-000003000000}"/>
    <hyperlink ref="F12" location="'Traffic Flow Matrix'!A1" display="Traffic Flow Matrix" xr:uid="{00000000-0004-0000-0000-000004000000}"/>
    <hyperlink ref="F13" location="'HA &amp; Resilience'!A1" display="HA &amp; Resilience" xr:uid="{00000000-0004-0000-0000-000005000000}"/>
    <hyperlink ref="F14" location="'UAT Failover Scenarios'!A1" display="UAT Failover Scenarios" xr:uid="{00000000-0004-0000-0000-000006000000}"/>
    <hyperlink ref="F15" location="'Third-Party Integration'!A1" display="Third-Party Integration" xr:uid="{00000000-0004-0000-0000-000007000000}"/>
    <hyperlink ref="F16" location="'Migration &amp; Cutover'!A1" display="Migration &amp; Cutover" xr:uid="{00000000-0004-0000-0000-000008000000}"/>
    <hyperlink ref="F17" location="'Go-NoGo Criteria'!A1" display="Go-NoGo Criteria" xr:uid="{00000000-0004-0000-0000-000009000000}"/>
    <hyperlink ref="F18" location="'Integration Risk Register'!A1" display="Integration Risk Register" xr:uid="{00000000-0004-0000-0000-00000A000000}"/>
    <hyperlink ref="F19" location="'Findings &amp; Remediation'!A1" display="Findings &amp; Remediation" xr:uid="{00000000-0004-0000-0000-00000B000000}"/>
    <hyperlink ref="F20" location="'Deliverables Tracker'!A1" display="Deliverables Tracker" xr:uid="{00000000-0004-0000-0000-00000C000000}"/>
    <hyperlink ref="F21" location="'Executive Dashboard'!A1" display="Executive Dashboard" xr:uid="{00000000-0004-0000-0000-00000D000000}"/>
  </hyperlinks>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B2A4A"/>
    <pageSetUpPr fitToPage="1"/>
  </sheetPr>
  <dimension ref="A1:J35"/>
  <sheetViews>
    <sheetView showGridLines="0" workbookViewId="0">
      <pane ySplit="4" topLeftCell="A5" activePane="bottomLeft" state="frozen"/>
      <selection pane="bottomLeft"/>
    </sheetView>
  </sheetViews>
  <sheetFormatPr defaultRowHeight="14.5" x14ac:dyDescent="0.35"/>
  <cols>
    <col min="1" max="1" width="9" customWidth="1"/>
    <col min="2" max="2" width="30" customWidth="1"/>
    <col min="3" max="3" width="62" customWidth="1"/>
    <col min="4" max="4" width="26" customWidth="1"/>
    <col min="5" max="6" width="10" customWidth="1"/>
    <col min="7" max="7" width="9" customWidth="1"/>
    <col min="8" max="8" width="12" customWidth="1"/>
    <col min="9" max="9" width="13" customWidth="1"/>
    <col min="10" max="10" width="46" customWidth="1"/>
  </cols>
  <sheetData>
    <row r="1" spans="1:10" ht="32" customHeight="1" x14ac:dyDescent="0.35">
      <c r="A1" s="63" t="s">
        <v>128</v>
      </c>
      <c r="B1" s="54"/>
      <c r="C1" s="54"/>
      <c r="D1" s="54"/>
      <c r="E1" s="54"/>
      <c r="F1" s="54"/>
      <c r="G1" s="54"/>
      <c r="H1" s="54"/>
      <c r="I1" s="54"/>
      <c r="J1" s="54"/>
    </row>
    <row r="2" spans="1:10" ht="22" customHeight="1" x14ac:dyDescent="0.35">
      <c r="A2" s="64" t="s">
        <v>129</v>
      </c>
      <c r="B2" s="54"/>
      <c r="C2" s="54"/>
      <c r="D2" s="54"/>
      <c r="E2" s="54"/>
      <c r="F2" s="54"/>
      <c r="G2" s="54"/>
      <c r="H2" s="54"/>
      <c r="I2" s="54"/>
      <c r="J2" s="54"/>
    </row>
    <row r="4" spans="1:10" ht="34" customHeight="1" x14ac:dyDescent="0.35">
      <c r="A4" s="3" t="s">
        <v>130</v>
      </c>
      <c r="B4" s="3" t="s">
        <v>131</v>
      </c>
      <c r="C4" s="3" t="s">
        <v>132</v>
      </c>
      <c r="D4" s="3" t="s">
        <v>133</v>
      </c>
      <c r="E4" s="3" t="s">
        <v>134</v>
      </c>
      <c r="F4" s="3" t="s">
        <v>135</v>
      </c>
      <c r="G4" s="3" t="s">
        <v>136</v>
      </c>
      <c r="H4" s="3" t="s">
        <v>137</v>
      </c>
      <c r="I4" s="3" t="s">
        <v>138</v>
      </c>
      <c r="J4" s="3" t="s">
        <v>139</v>
      </c>
    </row>
    <row r="5" spans="1:10" ht="44" customHeight="1" x14ac:dyDescent="0.35">
      <c r="A5" s="18" t="s">
        <v>140</v>
      </c>
      <c r="B5" s="19" t="s">
        <v>141</v>
      </c>
      <c r="C5" s="19" t="s">
        <v>142</v>
      </c>
      <c r="D5" s="19" t="s">
        <v>143</v>
      </c>
      <c r="E5" s="18"/>
      <c r="F5" s="18"/>
      <c r="G5" s="20"/>
      <c r="H5" s="18" t="s">
        <v>144</v>
      </c>
      <c r="I5" s="18" t="s">
        <v>145</v>
      </c>
      <c r="J5" s="19" t="s">
        <v>146</v>
      </c>
    </row>
    <row r="6" spans="1:10" ht="32" customHeight="1" x14ac:dyDescent="0.35">
      <c r="A6" s="21" t="s">
        <v>147</v>
      </c>
      <c r="B6" s="22" t="s">
        <v>148</v>
      </c>
      <c r="C6" s="22" t="s">
        <v>149</v>
      </c>
      <c r="D6" s="22" t="s">
        <v>20</v>
      </c>
      <c r="E6" s="21">
        <f>COUNTIF('Architecture Review'!$F$5:$F$300,$A6)</f>
        <v>6</v>
      </c>
      <c r="F6" s="21">
        <f>COUNTIFS('Architecture Review'!$F$5:$F$300,$A6,'Architecture Review'!$G$5:$G$300,"&gt;0")</f>
        <v>0</v>
      </c>
      <c r="G6" s="23" t="str">
        <f>IFERROR(AVERAGEIFS('Architecture Review'!$G$5:$G$300,'Architecture Review'!$F$5:$F$300,$A6),"")</f>
        <v/>
      </c>
      <c r="H6" s="21" t="str">
        <f t="shared" ref="H6:H31" si="0">IF(E6&gt;0,"Covered","GAP")</f>
        <v>Covered</v>
      </c>
      <c r="I6" s="21" t="s">
        <v>140</v>
      </c>
      <c r="J6" s="22" t="str">
        <f t="shared" ref="J6:J31" si="1">IF(E6=0,"No item mapped",IF(F6=E6,"All items scored",F6&amp;" of "&amp;E6&amp;" items scored"))</f>
        <v>0 of 6 items scored</v>
      </c>
    </row>
    <row r="7" spans="1:10" ht="24" customHeight="1" x14ac:dyDescent="0.35">
      <c r="A7" s="18" t="s">
        <v>150</v>
      </c>
      <c r="B7" s="19" t="s">
        <v>148</v>
      </c>
      <c r="C7" s="19" t="s">
        <v>151</v>
      </c>
      <c r="D7" s="19" t="s">
        <v>20</v>
      </c>
      <c r="E7" s="18">
        <f>COUNTIF('Architecture Review'!$F$5:$F$300,$A7)</f>
        <v>6</v>
      </c>
      <c r="F7" s="18">
        <f>COUNTIFS('Architecture Review'!$F$5:$F$300,$A7,'Architecture Review'!$G$5:$G$300,"&gt;0")</f>
        <v>0</v>
      </c>
      <c r="G7" s="20" t="str">
        <f>IFERROR(AVERAGEIFS('Architecture Review'!$G$5:$G$300,'Architecture Review'!$F$5:$F$300,$A7),"")</f>
        <v/>
      </c>
      <c r="H7" s="18" t="str">
        <f t="shared" si="0"/>
        <v>Covered</v>
      </c>
      <c r="I7" s="18" t="s">
        <v>140</v>
      </c>
      <c r="J7" s="19" t="str">
        <f t="shared" si="1"/>
        <v>0 of 6 items scored</v>
      </c>
    </row>
    <row r="8" spans="1:10" ht="24" customHeight="1" x14ac:dyDescent="0.35">
      <c r="A8" s="21" t="s">
        <v>152</v>
      </c>
      <c r="B8" s="22" t="s">
        <v>148</v>
      </c>
      <c r="C8" s="22" t="s">
        <v>153</v>
      </c>
      <c r="D8" s="22" t="s">
        <v>20</v>
      </c>
      <c r="E8" s="21">
        <f>COUNTIF('Architecture Review'!$F$5:$F$300,$A8)</f>
        <v>9</v>
      </c>
      <c r="F8" s="21">
        <f>COUNTIFS('Architecture Review'!$F$5:$F$300,$A8,'Architecture Review'!$G$5:$G$300,"&gt;0")</f>
        <v>0</v>
      </c>
      <c r="G8" s="23" t="str">
        <f>IFERROR(AVERAGEIFS('Architecture Review'!$G$5:$G$300,'Architecture Review'!$F$5:$F$300,$A8),"")</f>
        <v/>
      </c>
      <c r="H8" s="21" t="str">
        <f t="shared" si="0"/>
        <v>Covered</v>
      </c>
      <c r="I8" s="21" t="s">
        <v>140</v>
      </c>
      <c r="J8" s="22" t="str">
        <f t="shared" si="1"/>
        <v>0 of 9 items scored</v>
      </c>
    </row>
    <row r="9" spans="1:10" ht="24" customHeight="1" x14ac:dyDescent="0.35">
      <c r="A9" s="18" t="s">
        <v>154</v>
      </c>
      <c r="B9" s="19" t="s">
        <v>148</v>
      </c>
      <c r="C9" s="19" t="s">
        <v>155</v>
      </c>
      <c r="D9" s="19" t="s">
        <v>20</v>
      </c>
      <c r="E9" s="18">
        <f>COUNTIF('Architecture Review'!$F$5:$F$300,$A9)</f>
        <v>5</v>
      </c>
      <c r="F9" s="18">
        <f>COUNTIFS('Architecture Review'!$F$5:$F$300,$A9,'Architecture Review'!$G$5:$G$300,"&gt;0")</f>
        <v>0</v>
      </c>
      <c r="G9" s="20" t="str">
        <f>IFERROR(AVERAGEIFS('Architecture Review'!$G$5:$G$300,'Architecture Review'!$F$5:$F$300,$A9),"")</f>
        <v/>
      </c>
      <c r="H9" s="18" t="str">
        <f t="shared" si="0"/>
        <v>Covered</v>
      </c>
      <c r="I9" s="18" t="s">
        <v>140</v>
      </c>
      <c r="J9" s="19" t="str">
        <f t="shared" si="1"/>
        <v>0 of 5 items scored</v>
      </c>
    </row>
    <row r="10" spans="1:10" ht="24" customHeight="1" x14ac:dyDescent="0.35">
      <c r="A10" s="21" t="s">
        <v>156</v>
      </c>
      <c r="B10" s="22" t="s">
        <v>148</v>
      </c>
      <c r="C10" s="22" t="s">
        <v>157</v>
      </c>
      <c r="D10" s="22" t="s">
        <v>20</v>
      </c>
      <c r="E10" s="21">
        <f>COUNTIF('Architecture Review'!$F$5:$F$300,$A10)</f>
        <v>6</v>
      </c>
      <c r="F10" s="21">
        <f>COUNTIFS('Architecture Review'!$F$5:$F$300,$A10,'Architecture Review'!$G$5:$G$300,"&gt;0")</f>
        <v>0</v>
      </c>
      <c r="G10" s="23" t="str">
        <f>IFERROR(AVERAGEIFS('Architecture Review'!$G$5:$G$300,'Architecture Review'!$F$5:$F$300,$A10),"")</f>
        <v/>
      </c>
      <c r="H10" s="21" t="str">
        <f t="shared" si="0"/>
        <v>Covered</v>
      </c>
      <c r="I10" s="21" t="s">
        <v>140</v>
      </c>
      <c r="J10" s="22" t="str">
        <f t="shared" si="1"/>
        <v>0 of 6 items scored</v>
      </c>
    </row>
    <row r="11" spans="1:10" ht="32" customHeight="1" x14ac:dyDescent="0.35">
      <c r="A11" s="18" t="s">
        <v>158</v>
      </c>
      <c r="B11" s="19" t="s">
        <v>148</v>
      </c>
      <c r="C11" s="19" t="s">
        <v>159</v>
      </c>
      <c r="D11" s="19" t="s">
        <v>20</v>
      </c>
      <c r="E11" s="18">
        <f>COUNTIF('Architecture Review'!$F$5:$F$300,$A11)</f>
        <v>6</v>
      </c>
      <c r="F11" s="18">
        <f>COUNTIFS('Architecture Review'!$F$5:$F$300,$A11,'Architecture Review'!$G$5:$G$300,"&gt;0")</f>
        <v>0</v>
      </c>
      <c r="G11" s="20" t="str">
        <f>IFERROR(AVERAGEIFS('Architecture Review'!$G$5:$G$300,'Architecture Review'!$F$5:$F$300,$A11),"")</f>
        <v/>
      </c>
      <c r="H11" s="18" t="str">
        <f t="shared" si="0"/>
        <v>Covered</v>
      </c>
      <c r="I11" s="18" t="s">
        <v>140</v>
      </c>
      <c r="J11" s="19" t="str">
        <f t="shared" si="1"/>
        <v>0 of 6 items scored</v>
      </c>
    </row>
    <row r="12" spans="1:10" ht="24" customHeight="1" x14ac:dyDescent="0.35">
      <c r="A12" s="21" t="s">
        <v>160</v>
      </c>
      <c r="B12" s="22" t="s">
        <v>148</v>
      </c>
      <c r="C12" s="22" t="s">
        <v>161</v>
      </c>
      <c r="D12" s="22" t="s">
        <v>20</v>
      </c>
      <c r="E12" s="21">
        <f>COUNTIF('Architecture Review'!$F$5:$F$300,$A12)</f>
        <v>5</v>
      </c>
      <c r="F12" s="21">
        <f>COUNTIFS('Architecture Review'!$F$5:$F$300,$A12,'Architecture Review'!$G$5:$G$300,"&gt;0")</f>
        <v>0</v>
      </c>
      <c r="G12" s="23" t="str">
        <f>IFERROR(AVERAGEIFS('Architecture Review'!$G$5:$G$300,'Architecture Review'!$F$5:$F$300,$A12),"")</f>
        <v/>
      </c>
      <c r="H12" s="21" t="str">
        <f t="shared" si="0"/>
        <v>Covered</v>
      </c>
      <c r="I12" s="21" t="s">
        <v>140</v>
      </c>
      <c r="J12" s="22" t="str">
        <f t="shared" si="1"/>
        <v>0 of 5 items scored</v>
      </c>
    </row>
    <row r="13" spans="1:10" ht="24" customHeight="1" x14ac:dyDescent="0.35">
      <c r="A13" s="18" t="s">
        <v>162</v>
      </c>
      <c r="B13" s="19" t="s">
        <v>163</v>
      </c>
      <c r="C13" s="19" t="s">
        <v>164</v>
      </c>
      <c r="D13" s="19" t="s">
        <v>24</v>
      </c>
      <c r="E13" s="18">
        <f>COUNTIF('Traffic Flow Validation'!$F$5:$F$300,$A13)</f>
        <v>16</v>
      </c>
      <c r="F13" s="18">
        <f>COUNTIFS('Traffic Flow Validation'!$F$5:$F$300,$A13,'Traffic Flow Validation'!$G$5:$G$300,"&gt;0")</f>
        <v>0</v>
      </c>
      <c r="G13" s="20" t="str">
        <f>IFERROR(AVERAGEIFS('Traffic Flow Validation'!$G$5:$G$300,'Traffic Flow Validation'!$F$5:$F$300,$A13),"")</f>
        <v/>
      </c>
      <c r="H13" s="18" t="str">
        <f t="shared" si="0"/>
        <v>Covered</v>
      </c>
      <c r="I13" s="18" t="s">
        <v>165</v>
      </c>
      <c r="J13" s="19" t="str">
        <f t="shared" si="1"/>
        <v>0 of 16 items scored</v>
      </c>
    </row>
    <row r="14" spans="1:10" ht="32" customHeight="1" x14ac:dyDescent="0.35">
      <c r="A14" s="21" t="s">
        <v>166</v>
      </c>
      <c r="B14" s="22" t="s">
        <v>163</v>
      </c>
      <c r="C14" s="22" t="s">
        <v>167</v>
      </c>
      <c r="D14" s="22" t="s">
        <v>24</v>
      </c>
      <c r="E14" s="21">
        <f>COUNTIF('Traffic Flow Validation'!$F$5:$F$300,$A14)</f>
        <v>5</v>
      </c>
      <c r="F14" s="21">
        <f>COUNTIFS('Traffic Flow Validation'!$F$5:$F$300,$A14,'Traffic Flow Validation'!$G$5:$G$300,"&gt;0")</f>
        <v>0</v>
      </c>
      <c r="G14" s="23" t="str">
        <f>IFERROR(AVERAGEIFS('Traffic Flow Validation'!$G$5:$G$300,'Traffic Flow Validation'!$F$5:$F$300,$A14),"")</f>
        <v/>
      </c>
      <c r="H14" s="21" t="str">
        <f t="shared" si="0"/>
        <v>Covered</v>
      </c>
      <c r="I14" s="21" t="s">
        <v>165</v>
      </c>
      <c r="J14" s="22" t="str">
        <f t="shared" si="1"/>
        <v>0 of 5 items scored</v>
      </c>
    </row>
    <row r="15" spans="1:10" ht="24" customHeight="1" x14ac:dyDescent="0.35">
      <c r="A15" s="18" t="s">
        <v>168</v>
      </c>
      <c r="B15" s="19" t="s">
        <v>163</v>
      </c>
      <c r="C15" s="19" t="s">
        <v>169</v>
      </c>
      <c r="D15" s="19" t="s">
        <v>24</v>
      </c>
      <c r="E15" s="18">
        <f>COUNTIF('Traffic Flow Validation'!$F$5:$F$300,$A15)</f>
        <v>3</v>
      </c>
      <c r="F15" s="18">
        <f>COUNTIFS('Traffic Flow Validation'!$F$5:$F$300,$A15,'Traffic Flow Validation'!$G$5:$G$300,"&gt;0")</f>
        <v>0</v>
      </c>
      <c r="G15" s="20" t="str">
        <f>IFERROR(AVERAGEIFS('Traffic Flow Validation'!$G$5:$G$300,'Traffic Flow Validation'!$F$5:$F$300,$A15),"")</f>
        <v/>
      </c>
      <c r="H15" s="18" t="str">
        <f t="shared" si="0"/>
        <v>Covered</v>
      </c>
      <c r="I15" s="18" t="s">
        <v>165</v>
      </c>
      <c r="J15" s="19" t="str">
        <f t="shared" si="1"/>
        <v>0 of 3 items scored</v>
      </c>
    </row>
    <row r="16" spans="1:10" ht="24" customHeight="1" x14ac:dyDescent="0.35">
      <c r="A16" s="21" t="s">
        <v>170</v>
      </c>
      <c r="B16" s="22" t="s">
        <v>163</v>
      </c>
      <c r="C16" s="22" t="s">
        <v>171</v>
      </c>
      <c r="D16" s="22" t="s">
        <v>24</v>
      </c>
      <c r="E16" s="21">
        <f>COUNTIF('Traffic Flow Validation'!$F$5:$F$300,$A16)</f>
        <v>3</v>
      </c>
      <c r="F16" s="21">
        <f>COUNTIFS('Traffic Flow Validation'!$F$5:$F$300,$A16,'Traffic Flow Validation'!$G$5:$G$300,"&gt;0")</f>
        <v>0</v>
      </c>
      <c r="G16" s="23" t="str">
        <f>IFERROR(AVERAGEIFS('Traffic Flow Validation'!$G$5:$G$300,'Traffic Flow Validation'!$F$5:$F$300,$A16),"")</f>
        <v/>
      </c>
      <c r="H16" s="21" t="str">
        <f t="shared" si="0"/>
        <v>Covered</v>
      </c>
      <c r="I16" s="21" t="s">
        <v>165</v>
      </c>
      <c r="J16" s="22" t="str">
        <f t="shared" si="1"/>
        <v>0 of 3 items scored</v>
      </c>
    </row>
    <row r="17" spans="1:10" ht="24" customHeight="1" x14ac:dyDescent="0.35">
      <c r="A17" s="18" t="s">
        <v>172</v>
      </c>
      <c r="B17" s="19" t="s">
        <v>163</v>
      </c>
      <c r="C17" s="19" t="s">
        <v>173</v>
      </c>
      <c r="D17" s="19" t="s">
        <v>24</v>
      </c>
      <c r="E17" s="18">
        <f>COUNTIF('Traffic Flow Validation'!$F$5:$F$300,$A17)</f>
        <v>4</v>
      </c>
      <c r="F17" s="18">
        <f>COUNTIFS('Traffic Flow Validation'!$F$5:$F$300,$A17,'Traffic Flow Validation'!$G$5:$G$300,"&gt;0")</f>
        <v>0</v>
      </c>
      <c r="G17" s="20" t="str">
        <f>IFERROR(AVERAGEIFS('Traffic Flow Validation'!$G$5:$G$300,'Traffic Flow Validation'!$F$5:$F$300,$A17),"")</f>
        <v/>
      </c>
      <c r="H17" s="18" t="str">
        <f t="shared" si="0"/>
        <v>Covered</v>
      </c>
      <c r="I17" s="18" t="s">
        <v>165</v>
      </c>
      <c r="J17" s="19" t="str">
        <f t="shared" si="1"/>
        <v>0 of 4 items scored</v>
      </c>
    </row>
    <row r="18" spans="1:10" ht="32" customHeight="1" x14ac:dyDescent="0.35">
      <c r="A18" s="21" t="s">
        <v>174</v>
      </c>
      <c r="B18" s="22" t="s">
        <v>175</v>
      </c>
      <c r="C18" s="22" t="s">
        <v>176</v>
      </c>
      <c r="D18" s="22" t="s">
        <v>32</v>
      </c>
      <c r="E18" s="21">
        <f>COUNTIF('HA &amp; Resilience'!$F$5:$F$300,$A18)</f>
        <v>6</v>
      </c>
      <c r="F18" s="21">
        <f>COUNTIFS('HA &amp; Resilience'!$F$5:$F$300,$A18,'HA &amp; Resilience'!$G$5:$G$300,"&gt;0")</f>
        <v>0</v>
      </c>
      <c r="G18" s="23" t="str">
        <f>IFERROR(AVERAGEIFS('HA &amp; Resilience'!$G$5:$G$300,'HA &amp; Resilience'!$F$5:$F$300,$A18),"")</f>
        <v/>
      </c>
      <c r="H18" s="21" t="str">
        <f t="shared" si="0"/>
        <v>Covered</v>
      </c>
      <c r="I18" s="21" t="s">
        <v>177</v>
      </c>
      <c r="J18" s="22" t="str">
        <f t="shared" si="1"/>
        <v>0 of 6 items scored</v>
      </c>
    </row>
    <row r="19" spans="1:10" ht="32" customHeight="1" x14ac:dyDescent="0.35">
      <c r="A19" s="18" t="s">
        <v>178</v>
      </c>
      <c r="B19" s="19" t="s">
        <v>175</v>
      </c>
      <c r="C19" s="19" t="s">
        <v>179</v>
      </c>
      <c r="D19" s="19" t="s">
        <v>32</v>
      </c>
      <c r="E19" s="18">
        <f>COUNTIF('HA &amp; Resilience'!$F$5:$F$300,$A19)</f>
        <v>8</v>
      </c>
      <c r="F19" s="18">
        <f>COUNTIFS('HA &amp; Resilience'!$F$5:$F$300,$A19,'HA &amp; Resilience'!$G$5:$G$300,"&gt;0")</f>
        <v>0</v>
      </c>
      <c r="G19" s="20" t="str">
        <f>IFERROR(AVERAGEIFS('HA &amp; Resilience'!$G$5:$G$300,'HA &amp; Resilience'!$F$5:$F$300,$A19),"")</f>
        <v/>
      </c>
      <c r="H19" s="18" t="str">
        <f t="shared" si="0"/>
        <v>Covered</v>
      </c>
      <c r="I19" s="18" t="s">
        <v>177</v>
      </c>
      <c r="J19" s="19" t="str">
        <f t="shared" si="1"/>
        <v>0 of 8 items scored</v>
      </c>
    </row>
    <row r="20" spans="1:10" ht="32" customHeight="1" x14ac:dyDescent="0.35">
      <c r="A20" s="21" t="s">
        <v>180</v>
      </c>
      <c r="B20" s="22" t="s">
        <v>175</v>
      </c>
      <c r="C20" s="22" t="s">
        <v>181</v>
      </c>
      <c r="D20" s="22" t="s">
        <v>32</v>
      </c>
      <c r="E20" s="21">
        <f>COUNTIF('HA &amp; Resilience'!$F$5:$F$300,$A20)</f>
        <v>5</v>
      </c>
      <c r="F20" s="21">
        <f>COUNTIFS('HA &amp; Resilience'!$F$5:$F$300,$A20,'HA &amp; Resilience'!$G$5:$G$300,"&gt;0")</f>
        <v>0</v>
      </c>
      <c r="G20" s="23" t="str">
        <f>IFERROR(AVERAGEIFS('HA &amp; Resilience'!$G$5:$G$300,'HA &amp; Resilience'!$F$5:$F$300,$A20),"")</f>
        <v/>
      </c>
      <c r="H20" s="21" t="str">
        <f t="shared" si="0"/>
        <v>Covered</v>
      </c>
      <c r="I20" s="21" t="s">
        <v>177</v>
      </c>
      <c r="J20" s="22" t="str">
        <f t="shared" si="1"/>
        <v>0 of 5 items scored</v>
      </c>
    </row>
    <row r="21" spans="1:10" ht="24" customHeight="1" x14ac:dyDescent="0.35">
      <c r="A21" s="18" t="s">
        <v>182</v>
      </c>
      <c r="B21" s="19" t="s">
        <v>175</v>
      </c>
      <c r="C21" s="19" t="s">
        <v>183</v>
      </c>
      <c r="D21" s="19" t="s">
        <v>32</v>
      </c>
      <c r="E21" s="18">
        <f>COUNTIF('HA &amp; Resilience'!$F$5:$F$300,$A21)</f>
        <v>4</v>
      </c>
      <c r="F21" s="18">
        <f>COUNTIFS('HA &amp; Resilience'!$F$5:$F$300,$A21,'HA &amp; Resilience'!$G$5:$G$300,"&gt;0")</f>
        <v>0</v>
      </c>
      <c r="G21" s="20" t="str">
        <f>IFERROR(AVERAGEIFS('HA &amp; Resilience'!$G$5:$G$300,'HA &amp; Resilience'!$F$5:$F$300,$A21),"")</f>
        <v/>
      </c>
      <c r="H21" s="18" t="str">
        <f t="shared" si="0"/>
        <v>Covered</v>
      </c>
      <c r="I21" s="18" t="s">
        <v>177</v>
      </c>
      <c r="J21" s="19" t="str">
        <f t="shared" si="1"/>
        <v>0 of 4 items scored</v>
      </c>
    </row>
    <row r="22" spans="1:10" ht="24" customHeight="1" x14ac:dyDescent="0.35">
      <c r="A22" s="21" t="s">
        <v>184</v>
      </c>
      <c r="B22" s="22" t="s">
        <v>175</v>
      </c>
      <c r="C22" s="22" t="s">
        <v>185</v>
      </c>
      <c r="D22" s="22" t="s">
        <v>32</v>
      </c>
      <c r="E22" s="21">
        <f>COUNTIF('HA &amp; Resilience'!$F$5:$F$300,$A22)</f>
        <v>6</v>
      </c>
      <c r="F22" s="21">
        <f>COUNTIFS('HA &amp; Resilience'!$F$5:$F$300,$A22,'HA &amp; Resilience'!$G$5:$G$300,"&gt;0")</f>
        <v>0</v>
      </c>
      <c r="G22" s="23" t="str">
        <f>IFERROR(AVERAGEIFS('HA &amp; Resilience'!$G$5:$G$300,'HA &amp; Resilience'!$F$5:$F$300,$A22),"")</f>
        <v/>
      </c>
      <c r="H22" s="21" t="str">
        <f t="shared" si="0"/>
        <v>Covered</v>
      </c>
      <c r="I22" s="21" t="s">
        <v>177</v>
      </c>
      <c r="J22" s="22" t="str">
        <f t="shared" si="1"/>
        <v>0 of 6 items scored</v>
      </c>
    </row>
    <row r="23" spans="1:10" ht="24" customHeight="1" x14ac:dyDescent="0.35">
      <c r="A23" s="18" t="s">
        <v>186</v>
      </c>
      <c r="B23" s="19" t="s">
        <v>187</v>
      </c>
      <c r="C23" s="19" t="s">
        <v>188</v>
      </c>
      <c r="D23" s="19" t="s">
        <v>40</v>
      </c>
      <c r="E23" s="18">
        <f>COUNTIF('Third-Party Integration'!$F$5:$F$300,$A23)</f>
        <v>8</v>
      </c>
      <c r="F23" s="18">
        <f>COUNTIFS('Third-Party Integration'!$F$5:$F$300,$A23,'Third-Party Integration'!$G$5:$G$300,"&gt;0")</f>
        <v>0</v>
      </c>
      <c r="G23" s="20" t="str">
        <f>IFERROR(AVERAGEIFS('Third-Party Integration'!$G$5:$G$300,'Third-Party Integration'!$F$5:$F$300,$A23),"")</f>
        <v/>
      </c>
      <c r="H23" s="18" t="str">
        <f t="shared" si="0"/>
        <v>Covered</v>
      </c>
      <c r="I23" s="18" t="s">
        <v>189</v>
      </c>
      <c r="J23" s="19" t="str">
        <f t="shared" si="1"/>
        <v>0 of 8 items scored</v>
      </c>
    </row>
    <row r="24" spans="1:10" ht="24" customHeight="1" x14ac:dyDescent="0.35">
      <c r="A24" s="21" t="s">
        <v>190</v>
      </c>
      <c r="B24" s="22" t="s">
        <v>187</v>
      </c>
      <c r="C24" s="22" t="s">
        <v>191</v>
      </c>
      <c r="D24" s="22" t="s">
        <v>40</v>
      </c>
      <c r="E24" s="21">
        <f>COUNTIF('Third-Party Integration'!$F$5:$F$300,$A24)</f>
        <v>6</v>
      </c>
      <c r="F24" s="21">
        <f>COUNTIFS('Third-Party Integration'!$F$5:$F$300,$A24,'Third-Party Integration'!$G$5:$G$300,"&gt;0")</f>
        <v>0</v>
      </c>
      <c r="G24" s="23" t="str">
        <f>IFERROR(AVERAGEIFS('Third-Party Integration'!$G$5:$G$300,'Third-Party Integration'!$F$5:$F$300,$A24),"")</f>
        <v/>
      </c>
      <c r="H24" s="21" t="str">
        <f t="shared" si="0"/>
        <v>Covered</v>
      </c>
      <c r="I24" s="21" t="s">
        <v>189</v>
      </c>
      <c r="J24" s="22" t="str">
        <f t="shared" si="1"/>
        <v>0 of 6 items scored</v>
      </c>
    </row>
    <row r="25" spans="1:10" ht="24" customHeight="1" x14ac:dyDescent="0.35">
      <c r="A25" s="18" t="s">
        <v>192</v>
      </c>
      <c r="B25" s="19" t="s">
        <v>187</v>
      </c>
      <c r="C25" s="19" t="s">
        <v>193</v>
      </c>
      <c r="D25" s="19" t="s">
        <v>40</v>
      </c>
      <c r="E25" s="18">
        <f>COUNTIF('Third-Party Integration'!$F$5:$F$300,$A25)</f>
        <v>5</v>
      </c>
      <c r="F25" s="18">
        <f>COUNTIFS('Third-Party Integration'!$F$5:$F$300,$A25,'Third-Party Integration'!$G$5:$G$300,"&gt;0")</f>
        <v>0</v>
      </c>
      <c r="G25" s="20" t="str">
        <f>IFERROR(AVERAGEIFS('Third-Party Integration'!$G$5:$G$300,'Third-Party Integration'!$F$5:$F$300,$A25),"")</f>
        <v/>
      </c>
      <c r="H25" s="18" t="str">
        <f t="shared" si="0"/>
        <v>Covered</v>
      </c>
      <c r="I25" s="18" t="s">
        <v>189</v>
      </c>
      <c r="J25" s="19" t="str">
        <f t="shared" si="1"/>
        <v>0 of 5 items scored</v>
      </c>
    </row>
    <row r="26" spans="1:10" ht="32" customHeight="1" x14ac:dyDescent="0.35">
      <c r="A26" s="21" t="s">
        <v>194</v>
      </c>
      <c r="B26" s="22" t="s">
        <v>187</v>
      </c>
      <c r="C26" s="22" t="s">
        <v>195</v>
      </c>
      <c r="D26" s="22" t="s">
        <v>40</v>
      </c>
      <c r="E26" s="21">
        <f>COUNTIF('Third-Party Integration'!$F$5:$F$300,$A26)</f>
        <v>10</v>
      </c>
      <c r="F26" s="21">
        <f>COUNTIFS('Third-Party Integration'!$F$5:$F$300,$A26,'Third-Party Integration'!$G$5:$G$300,"&gt;0")</f>
        <v>0</v>
      </c>
      <c r="G26" s="23" t="str">
        <f>IFERROR(AVERAGEIFS('Third-Party Integration'!$G$5:$G$300,'Third-Party Integration'!$F$5:$F$300,$A26),"")</f>
        <v/>
      </c>
      <c r="H26" s="21" t="str">
        <f t="shared" si="0"/>
        <v>Covered</v>
      </c>
      <c r="I26" s="21" t="s">
        <v>189</v>
      </c>
      <c r="J26" s="22" t="str">
        <f t="shared" si="1"/>
        <v>0 of 10 items scored</v>
      </c>
    </row>
    <row r="27" spans="1:10" ht="24" customHeight="1" x14ac:dyDescent="0.35">
      <c r="A27" s="18" t="s">
        <v>196</v>
      </c>
      <c r="B27" s="19" t="s">
        <v>197</v>
      </c>
      <c r="C27" s="19" t="s">
        <v>198</v>
      </c>
      <c r="D27" s="19" t="s">
        <v>43</v>
      </c>
      <c r="E27" s="18">
        <f>COUNTIF('Migration &amp; Cutover'!$F$5:$F$300,$A27)</f>
        <v>8</v>
      </c>
      <c r="F27" s="18">
        <f>COUNTIFS('Migration &amp; Cutover'!$F$5:$F$300,$A27,'Migration &amp; Cutover'!$G$5:$G$300,"&gt;0")</f>
        <v>0</v>
      </c>
      <c r="G27" s="20" t="str">
        <f>IFERROR(AVERAGEIFS('Migration &amp; Cutover'!$G$5:$G$300,'Migration &amp; Cutover'!$F$5:$F$300,$A27),"")</f>
        <v/>
      </c>
      <c r="H27" s="18" t="str">
        <f t="shared" si="0"/>
        <v>Covered</v>
      </c>
      <c r="I27" s="18" t="s">
        <v>199</v>
      </c>
      <c r="J27" s="19" t="str">
        <f t="shared" si="1"/>
        <v>0 of 8 items scored</v>
      </c>
    </row>
    <row r="28" spans="1:10" ht="24" customHeight="1" x14ac:dyDescent="0.35">
      <c r="A28" s="21" t="s">
        <v>200</v>
      </c>
      <c r="B28" s="22" t="s">
        <v>197</v>
      </c>
      <c r="C28" s="22" t="s">
        <v>201</v>
      </c>
      <c r="D28" s="22" t="s">
        <v>43</v>
      </c>
      <c r="E28" s="21">
        <f>COUNTIF('Migration &amp; Cutover'!$F$5:$F$300,$A28)</f>
        <v>5</v>
      </c>
      <c r="F28" s="21">
        <f>COUNTIFS('Migration &amp; Cutover'!$F$5:$F$300,$A28,'Migration &amp; Cutover'!$G$5:$G$300,"&gt;0")</f>
        <v>0</v>
      </c>
      <c r="G28" s="23" t="str">
        <f>IFERROR(AVERAGEIFS('Migration &amp; Cutover'!$G$5:$G$300,'Migration &amp; Cutover'!$F$5:$F$300,$A28),"")</f>
        <v/>
      </c>
      <c r="H28" s="21" t="str">
        <f t="shared" si="0"/>
        <v>Covered</v>
      </c>
      <c r="I28" s="21" t="s">
        <v>199</v>
      </c>
      <c r="J28" s="22" t="str">
        <f t="shared" si="1"/>
        <v>0 of 5 items scored</v>
      </c>
    </row>
    <row r="29" spans="1:10" ht="24" customHeight="1" x14ac:dyDescent="0.35">
      <c r="A29" s="18" t="s">
        <v>202</v>
      </c>
      <c r="B29" s="19" t="s">
        <v>197</v>
      </c>
      <c r="C29" s="19" t="s">
        <v>203</v>
      </c>
      <c r="D29" s="19" t="s">
        <v>43</v>
      </c>
      <c r="E29" s="18">
        <f>COUNTIF('Migration &amp; Cutover'!$F$5:$F$300,$A29)</f>
        <v>6</v>
      </c>
      <c r="F29" s="18">
        <f>COUNTIFS('Migration &amp; Cutover'!$F$5:$F$300,$A29,'Migration &amp; Cutover'!$G$5:$G$300,"&gt;0")</f>
        <v>0</v>
      </c>
      <c r="G29" s="20" t="str">
        <f>IFERROR(AVERAGEIFS('Migration &amp; Cutover'!$G$5:$G$300,'Migration &amp; Cutover'!$F$5:$F$300,$A29),"")</f>
        <v/>
      </c>
      <c r="H29" s="18" t="str">
        <f t="shared" si="0"/>
        <v>Covered</v>
      </c>
      <c r="I29" s="18" t="s">
        <v>199</v>
      </c>
      <c r="J29" s="19" t="str">
        <f t="shared" si="1"/>
        <v>0 of 6 items scored</v>
      </c>
    </row>
    <row r="30" spans="1:10" ht="24" customHeight="1" x14ac:dyDescent="0.35">
      <c r="A30" s="21" t="s">
        <v>204</v>
      </c>
      <c r="B30" s="22" t="s">
        <v>197</v>
      </c>
      <c r="C30" s="22" t="s">
        <v>205</v>
      </c>
      <c r="D30" s="22" t="s">
        <v>43</v>
      </c>
      <c r="E30" s="21">
        <f>COUNTIF('Migration &amp; Cutover'!$F$5:$F$300,$A30)</f>
        <v>4</v>
      </c>
      <c r="F30" s="21">
        <f>COUNTIFS('Migration &amp; Cutover'!$F$5:$F$300,$A30,'Migration &amp; Cutover'!$G$5:$G$300,"&gt;0")</f>
        <v>0</v>
      </c>
      <c r="G30" s="23" t="str">
        <f>IFERROR(AVERAGEIFS('Migration &amp; Cutover'!$G$5:$G$300,'Migration &amp; Cutover'!$F$5:$F$300,$A30),"")</f>
        <v/>
      </c>
      <c r="H30" s="21" t="str">
        <f t="shared" si="0"/>
        <v>Covered</v>
      </c>
      <c r="I30" s="21" t="s">
        <v>199</v>
      </c>
      <c r="J30" s="22" t="str">
        <f t="shared" si="1"/>
        <v>0 of 4 items scored</v>
      </c>
    </row>
    <row r="31" spans="1:10" ht="32" customHeight="1" x14ac:dyDescent="0.35">
      <c r="A31" s="18" t="s">
        <v>206</v>
      </c>
      <c r="B31" s="19" t="s">
        <v>197</v>
      </c>
      <c r="C31" s="19" t="s">
        <v>207</v>
      </c>
      <c r="D31" s="19" t="s">
        <v>43</v>
      </c>
      <c r="E31" s="18">
        <f>COUNTIF('Migration &amp; Cutover'!$F$5:$F$300,$A31)</f>
        <v>4</v>
      </c>
      <c r="F31" s="18">
        <f>COUNTIFS('Migration &amp; Cutover'!$F$5:$F$300,$A31,'Migration &amp; Cutover'!$G$5:$G$300,"&gt;0")</f>
        <v>0</v>
      </c>
      <c r="G31" s="20" t="str">
        <f>IFERROR(AVERAGEIFS('Migration &amp; Cutover'!$G$5:$G$300,'Migration &amp; Cutover'!$F$5:$F$300,$A31),"")</f>
        <v/>
      </c>
      <c r="H31" s="18" t="str">
        <f t="shared" si="0"/>
        <v>Covered</v>
      </c>
      <c r="I31" s="18" t="s">
        <v>199</v>
      </c>
      <c r="J31" s="19" t="str">
        <f t="shared" si="1"/>
        <v>0 of 4 items scored</v>
      </c>
    </row>
    <row r="32" spans="1:10" ht="30" customHeight="1" x14ac:dyDescent="0.35">
      <c r="A32" s="21" t="s">
        <v>177</v>
      </c>
      <c r="B32" s="22" t="s">
        <v>208</v>
      </c>
      <c r="C32" s="22" t="s">
        <v>209</v>
      </c>
      <c r="D32" s="22" t="s">
        <v>56</v>
      </c>
      <c r="E32" s="21"/>
      <c r="F32" s="21"/>
      <c r="G32" s="21"/>
      <c r="H32" s="21" t="s">
        <v>144</v>
      </c>
      <c r="I32" s="21" t="s">
        <v>210</v>
      </c>
      <c r="J32" s="22" t="str">
        <f>COUNTIF('Deliverables Tracker'!$I$5:$I$11,"Accepted")&amp;" of 7 deliverables accepted"</f>
        <v>0 of 7 deliverables accepted</v>
      </c>
    </row>
    <row r="33" spans="1:10" ht="30" customHeight="1" x14ac:dyDescent="0.35">
      <c r="A33" s="18" t="s">
        <v>189</v>
      </c>
      <c r="B33" s="19" t="s">
        <v>211</v>
      </c>
      <c r="C33" s="19" t="s">
        <v>212</v>
      </c>
      <c r="D33" s="19" t="s">
        <v>56</v>
      </c>
      <c r="E33" s="18"/>
      <c r="F33" s="18"/>
      <c r="G33" s="18"/>
      <c r="H33" s="18" t="s">
        <v>144</v>
      </c>
      <c r="I33" s="18" t="s">
        <v>210</v>
      </c>
      <c r="J33" s="19" t="s">
        <v>213</v>
      </c>
    </row>
    <row r="35" spans="1:10" x14ac:dyDescent="0.35">
      <c r="C35" s="24" t="s">
        <v>214</v>
      </c>
      <c r="E35" s="24">
        <f>COUNTIF($H$5:$H$31,"GAP")</f>
        <v>0</v>
      </c>
    </row>
  </sheetData>
  <mergeCells count="2">
    <mergeCell ref="A1:J1"/>
    <mergeCell ref="A2:J2"/>
  </mergeCells>
  <conditionalFormatting sqref="H5:H31">
    <cfRule type="expression" dxfId="86" priority="1">
      <formula>$H5="GAP"</formula>
    </cfRule>
    <cfRule type="expression" dxfId="85" priority="2">
      <formula>$H5="Covered"</formula>
    </cfRule>
  </conditionalFormatting>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5B6"/>
    <pageSetUpPr fitToPage="1"/>
  </sheetPr>
  <dimension ref="A1:L54"/>
  <sheetViews>
    <sheetView showGridLines="0" workbookViewId="0">
      <pane xSplit="3" ySplit="4" topLeftCell="D5" activePane="bottomRight" state="frozen"/>
      <selection pane="topRight"/>
      <selection pane="bottomLeft"/>
      <selection pane="bottomRight"/>
    </sheetView>
  </sheetViews>
  <sheetFormatPr defaultRowHeight="14.5" x14ac:dyDescent="0.35"/>
  <cols>
    <col min="1" max="1" width="10.7265625" customWidth="1"/>
    <col min="2" max="2" width="22" customWidth="1"/>
    <col min="3" max="3" width="28" customWidth="1"/>
    <col min="4" max="4" width="48" customWidth="1"/>
    <col min="5" max="5" width="36" customWidth="1"/>
    <col min="6" max="6" width="8" customWidth="1"/>
    <col min="7" max="7" width="8.453125" customWidth="1"/>
    <col min="8" max="8" width="10.7265625" customWidth="1"/>
    <col min="9" max="10" width="34" customWidth="1"/>
    <col min="11" max="11" width="14" customWidth="1"/>
    <col min="12" max="12" width="12" customWidth="1"/>
  </cols>
  <sheetData>
    <row r="1" spans="1:12" ht="32" customHeight="1" x14ac:dyDescent="0.35">
      <c r="A1" s="63" t="s">
        <v>215</v>
      </c>
      <c r="B1" s="54"/>
      <c r="C1" s="54"/>
      <c r="D1" s="54"/>
      <c r="E1" s="54"/>
      <c r="F1" s="54"/>
      <c r="G1" s="54"/>
      <c r="H1" s="54"/>
      <c r="I1" s="54"/>
      <c r="J1" s="54"/>
      <c r="K1" s="54"/>
      <c r="L1" s="54"/>
    </row>
    <row r="2" spans="1:12" ht="22" customHeight="1" x14ac:dyDescent="0.35">
      <c r="A2" s="64" t="s">
        <v>216</v>
      </c>
      <c r="B2" s="54"/>
      <c r="C2" s="54"/>
      <c r="D2" s="54"/>
      <c r="E2" s="54"/>
      <c r="F2" s="54"/>
      <c r="G2" s="54"/>
      <c r="H2" s="54"/>
      <c r="I2" s="54"/>
      <c r="J2" s="54"/>
      <c r="K2" s="54"/>
      <c r="L2" s="54"/>
    </row>
    <row r="4" spans="1:12" ht="34" customHeight="1" x14ac:dyDescent="0.35">
      <c r="A4" s="3" t="s">
        <v>217</v>
      </c>
      <c r="B4" s="3" t="s">
        <v>218</v>
      </c>
      <c r="C4" s="3" t="s">
        <v>219</v>
      </c>
      <c r="D4" s="3" t="s">
        <v>220</v>
      </c>
      <c r="E4" s="3" t="s">
        <v>221</v>
      </c>
      <c r="F4" s="3" t="s">
        <v>222</v>
      </c>
      <c r="G4" s="3" t="s">
        <v>223</v>
      </c>
      <c r="H4" s="3" t="s">
        <v>224</v>
      </c>
      <c r="I4" s="3" t="s">
        <v>225</v>
      </c>
      <c r="J4" s="3" t="s">
        <v>226</v>
      </c>
      <c r="K4" s="3" t="s">
        <v>227</v>
      </c>
      <c r="L4" s="3" t="s">
        <v>228</v>
      </c>
    </row>
    <row r="5" spans="1:12" ht="20" customHeight="1" x14ac:dyDescent="0.35">
      <c r="A5" s="65" t="s">
        <v>229</v>
      </c>
      <c r="B5" s="66"/>
      <c r="C5" s="66"/>
      <c r="D5" s="66"/>
      <c r="E5" s="66"/>
      <c r="F5" s="66"/>
      <c r="G5" s="66"/>
      <c r="H5" s="66"/>
      <c r="I5" s="66"/>
      <c r="J5" s="66"/>
      <c r="K5" s="66"/>
      <c r="L5" s="66"/>
    </row>
    <row r="6" spans="1:12" ht="44" customHeight="1" x14ac:dyDescent="0.35">
      <c r="A6" s="18" t="s">
        <v>230</v>
      </c>
      <c r="B6" s="19" t="s">
        <v>231</v>
      </c>
      <c r="C6" s="19" t="s">
        <v>232</v>
      </c>
      <c r="D6" s="19" t="s">
        <v>233</v>
      </c>
      <c r="E6" s="19" t="s">
        <v>234</v>
      </c>
      <c r="F6" s="18" t="s">
        <v>147</v>
      </c>
      <c r="G6" s="25"/>
      <c r="H6" s="26" t="str">
        <f t="shared" ref="H6:H11" si="0">IF(G6="","",IF(G6&lt;=RED_MAX,"RED",IF(G6&lt;=AMBER_MAX,"AMBER","GREEN")))</f>
        <v/>
      </c>
      <c r="I6" s="27" t="s">
        <v>235</v>
      </c>
      <c r="J6" s="27" t="s">
        <v>236</v>
      </c>
      <c r="K6" s="28" t="s">
        <v>237</v>
      </c>
      <c r="L6" s="28" t="s">
        <v>238</v>
      </c>
    </row>
    <row r="7" spans="1:12" ht="44" customHeight="1" x14ac:dyDescent="0.35">
      <c r="A7" s="21" t="s">
        <v>239</v>
      </c>
      <c r="B7" s="22" t="s">
        <v>231</v>
      </c>
      <c r="C7" s="22" t="s">
        <v>240</v>
      </c>
      <c r="D7" s="22" t="s">
        <v>241</v>
      </c>
      <c r="E7" s="22" t="s">
        <v>242</v>
      </c>
      <c r="F7" s="21" t="s">
        <v>147</v>
      </c>
      <c r="G7" s="29"/>
      <c r="H7" s="30" t="str">
        <f t="shared" si="0"/>
        <v/>
      </c>
      <c r="I7" s="31" t="s">
        <v>235</v>
      </c>
      <c r="J7" s="31" t="s">
        <v>236</v>
      </c>
      <c r="K7" s="32" t="s">
        <v>237</v>
      </c>
      <c r="L7" s="32" t="s">
        <v>238</v>
      </c>
    </row>
    <row r="8" spans="1:12" ht="44" customHeight="1" x14ac:dyDescent="0.35">
      <c r="A8" s="18" t="s">
        <v>243</v>
      </c>
      <c r="B8" s="19" t="s">
        <v>231</v>
      </c>
      <c r="C8" s="19" t="s">
        <v>244</v>
      </c>
      <c r="D8" s="19" t="s">
        <v>245</v>
      </c>
      <c r="E8" s="19" t="s">
        <v>246</v>
      </c>
      <c r="F8" s="18" t="s">
        <v>147</v>
      </c>
      <c r="G8" s="25"/>
      <c r="H8" s="26" t="str">
        <f t="shared" si="0"/>
        <v/>
      </c>
      <c r="I8" s="27" t="s">
        <v>235</v>
      </c>
      <c r="J8" s="27" t="s">
        <v>236</v>
      </c>
      <c r="K8" s="28" t="s">
        <v>237</v>
      </c>
      <c r="L8" s="28" t="s">
        <v>238</v>
      </c>
    </row>
    <row r="9" spans="1:12" ht="44" customHeight="1" x14ac:dyDescent="0.35">
      <c r="A9" s="21" t="s">
        <v>247</v>
      </c>
      <c r="B9" s="22" t="s">
        <v>231</v>
      </c>
      <c r="C9" s="22" t="s">
        <v>248</v>
      </c>
      <c r="D9" s="22" t="s">
        <v>249</v>
      </c>
      <c r="E9" s="22" t="s">
        <v>250</v>
      </c>
      <c r="F9" s="21" t="s">
        <v>147</v>
      </c>
      <c r="G9" s="29"/>
      <c r="H9" s="30" t="str">
        <f t="shared" si="0"/>
        <v/>
      </c>
      <c r="I9" s="31" t="s">
        <v>235</v>
      </c>
      <c r="J9" s="31" t="s">
        <v>236</v>
      </c>
      <c r="K9" s="32" t="s">
        <v>237</v>
      </c>
      <c r="L9" s="32" t="s">
        <v>238</v>
      </c>
    </row>
    <row r="10" spans="1:12" ht="44" customHeight="1" x14ac:dyDescent="0.35">
      <c r="A10" s="18" t="s">
        <v>251</v>
      </c>
      <c r="B10" s="19" t="s">
        <v>231</v>
      </c>
      <c r="C10" s="19" t="s">
        <v>252</v>
      </c>
      <c r="D10" s="19" t="s">
        <v>253</v>
      </c>
      <c r="E10" s="19" t="s">
        <v>254</v>
      </c>
      <c r="F10" s="18" t="s">
        <v>147</v>
      </c>
      <c r="G10" s="25"/>
      <c r="H10" s="26" t="str">
        <f t="shared" si="0"/>
        <v/>
      </c>
      <c r="I10" s="27" t="s">
        <v>235</v>
      </c>
      <c r="J10" s="27" t="s">
        <v>236</v>
      </c>
      <c r="K10" s="28" t="s">
        <v>237</v>
      </c>
      <c r="L10" s="28" t="s">
        <v>238</v>
      </c>
    </row>
    <row r="11" spans="1:12" ht="56" customHeight="1" x14ac:dyDescent="0.35">
      <c r="A11" s="21" t="s">
        <v>255</v>
      </c>
      <c r="B11" s="22" t="s">
        <v>231</v>
      </c>
      <c r="C11" s="22" t="s">
        <v>256</v>
      </c>
      <c r="D11" s="22" t="s">
        <v>257</v>
      </c>
      <c r="E11" s="22" t="s">
        <v>258</v>
      </c>
      <c r="F11" s="21" t="s">
        <v>147</v>
      </c>
      <c r="G11" s="29"/>
      <c r="H11" s="30" t="str">
        <f t="shared" si="0"/>
        <v/>
      </c>
      <c r="I11" s="31" t="s">
        <v>235</v>
      </c>
      <c r="J11" s="31" t="s">
        <v>236</v>
      </c>
      <c r="K11" s="32" t="s">
        <v>237</v>
      </c>
      <c r="L11" s="32" t="s">
        <v>238</v>
      </c>
    </row>
    <row r="12" spans="1:12" ht="20" customHeight="1" x14ac:dyDescent="0.35">
      <c r="A12" s="65" t="s">
        <v>259</v>
      </c>
      <c r="B12" s="66"/>
      <c r="C12" s="66"/>
      <c r="D12" s="66"/>
      <c r="E12" s="66"/>
      <c r="F12" s="66"/>
      <c r="G12" s="66"/>
      <c r="H12" s="66"/>
      <c r="I12" s="66"/>
      <c r="J12" s="66"/>
      <c r="K12" s="66"/>
      <c r="L12" s="66"/>
    </row>
    <row r="13" spans="1:12" ht="44" customHeight="1" x14ac:dyDescent="0.35">
      <c r="A13" s="18" t="s">
        <v>260</v>
      </c>
      <c r="B13" s="19" t="s">
        <v>261</v>
      </c>
      <c r="C13" s="19" t="s">
        <v>262</v>
      </c>
      <c r="D13" s="19" t="s">
        <v>263</v>
      </c>
      <c r="E13" s="19" t="s">
        <v>264</v>
      </c>
      <c r="F13" s="18" t="s">
        <v>150</v>
      </c>
      <c r="G13" s="25"/>
      <c r="H13" s="26" t="str">
        <f t="shared" ref="H13:H18" si="1">IF(G13="","",IF(G13&lt;=RED_MAX,"RED",IF(G13&lt;=AMBER_MAX,"AMBER","GREEN")))</f>
        <v/>
      </c>
      <c r="I13" s="27" t="s">
        <v>235</v>
      </c>
      <c r="J13" s="27" t="s">
        <v>236</v>
      </c>
      <c r="K13" s="28" t="s">
        <v>237</v>
      </c>
      <c r="L13" s="28" t="s">
        <v>238</v>
      </c>
    </row>
    <row r="14" spans="1:12" ht="44" customHeight="1" x14ac:dyDescent="0.35">
      <c r="A14" s="21" t="s">
        <v>265</v>
      </c>
      <c r="B14" s="22" t="s">
        <v>261</v>
      </c>
      <c r="C14" s="22" t="s">
        <v>266</v>
      </c>
      <c r="D14" s="22" t="s">
        <v>267</v>
      </c>
      <c r="E14" s="22" t="s">
        <v>268</v>
      </c>
      <c r="F14" s="21" t="s">
        <v>150</v>
      </c>
      <c r="G14" s="29"/>
      <c r="H14" s="30" t="str">
        <f t="shared" si="1"/>
        <v/>
      </c>
      <c r="I14" s="31" t="s">
        <v>235</v>
      </c>
      <c r="J14" s="31" t="s">
        <v>236</v>
      </c>
      <c r="K14" s="32" t="s">
        <v>237</v>
      </c>
      <c r="L14" s="32" t="s">
        <v>238</v>
      </c>
    </row>
    <row r="15" spans="1:12" ht="56" customHeight="1" x14ac:dyDescent="0.35">
      <c r="A15" s="18" t="s">
        <v>269</v>
      </c>
      <c r="B15" s="19" t="s">
        <v>261</v>
      </c>
      <c r="C15" s="19" t="s">
        <v>270</v>
      </c>
      <c r="D15" s="19" t="s">
        <v>271</v>
      </c>
      <c r="E15" s="19" t="s">
        <v>272</v>
      </c>
      <c r="F15" s="18" t="s">
        <v>150</v>
      </c>
      <c r="G15" s="25"/>
      <c r="H15" s="26" t="str">
        <f t="shared" si="1"/>
        <v/>
      </c>
      <c r="I15" s="27" t="s">
        <v>235</v>
      </c>
      <c r="J15" s="27" t="s">
        <v>236</v>
      </c>
      <c r="K15" s="28" t="s">
        <v>237</v>
      </c>
      <c r="L15" s="28" t="s">
        <v>238</v>
      </c>
    </row>
    <row r="16" spans="1:12" ht="56" customHeight="1" x14ac:dyDescent="0.35">
      <c r="A16" s="21" t="s">
        <v>273</v>
      </c>
      <c r="B16" s="22" t="s">
        <v>261</v>
      </c>
      <c r="C16" s="22" t="s">
        <v>274</v>
      </c>
      <c r="D16" s="22" t="s">
        <v>275</v>
      </c>
      <c r="E16" s="22" t="s">
        <v>276</v>
      </c>
      <c r="F16" s="21" t="s">
        <v>150</v>
      </c>
      <c r="G16" s="29"/>
      <c r="H16" s="30" t="str">
        <f t="shared" si="1"/>
        <v/>
      </c>
      <c r="I16" s="31" t="s">
        <v>235</v>
      </c>
      <c r="J16" s="31" t="s">
        <v>236</v>
      </c>
      <c r="K16" s="32" t="s">
        <v>237</v>
      </c>
      <c r="L16" s="32" t="s">
        <v>238</v>
      </c>
    </row>
    <row r="17" spans="1:12" ht="44" customHeight="1" x14ac:dyDescent="0.35">
      <c r="A17" s="18" t="s">
        <v>277</v>
      </c>
      <c r="B17" s="19" t="s">
        <v>261</v>
      </c>
      <c r="C17" s="19" t="s">
        <v>278</v>
      </c>
      <c r="D17" s="19" t="s">
        <v>279</v>
      </c>
      <c r="E17" s="19" t="s">
        <v>280</v>
      </c>
      <c r="F17" s="18" t="s">
        <v>150</v>
      </c>
      <c r="G17" s="25"/>
      <c r="H17" s="26" t="str">
        <f t="shared" si="1"/>
        <v/>
      </c>
      <c r="I17" s="27" t="s">
        <v>235</v>
      </c>
      <c r="J17" s="27" t="s">
        <v>236</v>
      </c>
      <c r="K17" s="28" t="s">
        <v>237</v>
      </c>
      <c r="L17" s="28" t="s">
        <v>238</v>
      </c>
    </row>
    <row r="18" spans="1:12" ht="44" customHeight="1" x14ac:dyDescent="0.35">
      <c r="A18" s="21" t="s">
        <v>281</v>
      </c>
      <c r="B18" s="22" t="s">
        <v>261</v>
      </c>
      <c r="C18" s="22" t="s">
        <v>282</v>
      </c>
      <c r="D18" s="22" t="s">
        <v>283</v>
      </c>
      <c r="E18" s="22" t="s">
        <v>284</v>
      </c>
      <c r="F18" s="21" t="s">
        <v>150</v>
      </c>
      <c r="G18" s="29"/>
      <c r="H18" s="30" t="str">
        <f t="shared" si="1"/>
        <v/>
      </c>
      <c r="I18" s="31" t="s">
        <v>235</v>
      </c>
      <c r="J18" s="31" t="s">
        <v>236</v>
      </c>
      <c r="K18" s="32" t="s">
        <v>237</v>
      </c>
      <c r="L18" s="32" t="s">
        <v>238</v>
      </c>
    </row>
    <row r="19" spans="1:12" ht="20" customHeight="1" x14ac:dyDescent="0.35">
      <c r="A19" s="65" t="s">
        <v>285</v>
      </c>
      <c r="B19" s="66"/>
      <c r="C19" s="66"/>
      <c r="D19" s="66"/>
      <c r="E19" s="66"/>
      <c r="F19" s="66"/>
      <c r="G19" s="66"/>
      <c r="H19" s="66"/>
      <c r="I19" s="66"/>
      <c r="J19" s="66"/>
      <c r="K19" s="66"/>
      <c r="L19" s="66"/>
    </row>
    <row r="20" spans="1:12" ht="44" customHeight="1" x14ac:dyDescent="0.35">
      <c r="A20" s="18" t="s">
        <v>286</v>
      </c>
      <c r="B20" s="19" t="s">
        <v>287</v>
      </c>
      <c r="C20" s="19" t="s">
        <v>288</v>
      </c>
      <c r="D20" s="19" t="s">
        <v>289</v>
      </c>
      <c r="E20" s="19" t="s">
        <v>290</v>
      </c>
      <c r="F20" s="18" t="s">
        <v>152</v>
      </c>
      <c r="G20" s="25"/>
      <c r="H20" s="26" t="str">
        <f t="shared" ref="H20:H28" si="2">IF(G20="","",IF(G20&lt;=RED_MAX,"RED",IF(G20&lt;=AMBER_MAX,"AMBER","GREEN")))</f>
        <v/>
      </c>
      <c r="I20" s="27" t="s">
        <v>235</v>
      </c>
      <c r="J20" s="27" t="s">
        <v>236</v>
      </c>
      <c r="K20" s="28" t="s">
        <v>237</v>
      </c>
      <c r="L20" s="28" t="s">
        <v>238</v>
      </c>
    </row>
    <row r="21" spans="1:12" ht="44" customHeight="1" x14ac:dyDescent="0.35">
      <c r="A21" s="21" t="s">
        <v>291</v>
      </c>
      <c r="B21" s="22" t="s">
        <v>287</v>
      </c>
      <c r="C21" s="22" t="s">
        <v>292</v>
      </c>
      <c r="D21" s="22" t="s">
        <v>293</v>
      </c>
      <c r="E21" s="22" t="s">
        <v>294</v>
      </c>
      <c r="F21" s="21" t="s">
        <v>152</v>
      </c>
      <c r="G21" s="29"/>
      <c r="H21" s="30" t="str">
        <f t="shared" si="2"/>
        <v/>
      </c>
      <c r="I21" s="31" t="s">
        <v>235</v>
      </c>
      <c r="J21" s="31" t="s">
        <v>236</v>
      </c>
      <c r="K21" s="32" t="s">
        <v>237</v>
      </c>
      <c r="L21" s="32" t="s">
        <v>238</v>
      </c>
    </row>
    <row r="22" spans="1:12" ht="44" customHeight="1" x14ac:dyDescent="0.35">
      <c r="A22" s="18" t="s">
        <v>295</v>
      </c>
      <c r="B22" s="19" t="s">
        <v>287</v>
      </c>
      <c r="C22" s="19" t="s">
        <v>296</v>
      </c>
      <c r="D22" s="19" t="s">
        <v>297</v>
      </c>
      <c r="E22" s="19" t="s">
        <v>298</v>
      </c>
      <c r="F22" s="18" t="s">
        <v>152</v>
      </c>
      <c r="G22" s="25"/>
      <c r="H22" s="26" t="str">
        <f t="shared" si="2"/>
        <v/>
      </c>
      <c r="I22" s="27" t="s">
        <v>235</v>
      </c>
      <c r="J22" s="27" t="s">
        <v>236</v>
      </c>
      <c r="K22" s="28" t="s">
        <v>237</v>
      </c>
      <c r="L22" s="28" t="s">
        <v>238</v>
      </c>
    </row>
    <row r="23" spans="1:12" ht="44" customHeight="1" x14ac:dyDescent="0.35">
      <c r="A23" s="21" t="s">
        <v>299</v>
      </c>
      <c r="B23" s="22" t="s">
        <v>287</v>
      </c>
      <c r="C23" s="22" t="s">
        <v>300</v>
      </c>
      <c r="D23" s="22" t="s">
        <v>301</v>
      </c>
      <c r="E23" s="22" t="s">
        <v>302</v>
      </c>
      <c r="F23" s="21" t="s">
        <v>152</v>
      </c>
      <c r="G23" s="29"/>
      <c r="H23" s="30" t="str">
        <f t="shared" si="2"/>
        <v/>
      </c>
      <c r="I23" s="31" t="s">
        <v>235</v>
      </c>
      <c r="J23" s="31" t="s">
        <v>236</v>
      </c>
      <c r="K23" s="32" t="s">
        <v>237</v>
      </c>
      <c r="L23" s="32" t="s">
        <v>238</v>
      </c>
    </row>
    <row r="24" spans="1:12" ht="56" customHeight="1" x14ac:dyDescent="0.35">
      <c r="A24" s="18" t="s">
        <v>303</v>
      </c>
      <c r="B24" s="19" t="s">
        <v>287</v>
      </c>
      <c r="C24" s="19" t="s">
        <v>304</v>
      </c>
      <c r="D24" s="19" t="s">
        <v>305</v>
      </c>
      <c r="E24" s="19" t="s">
        <v>306</v>
      </c>
      <c r="F24" s="18" t="s">
        <v>152</v>
      </c>
      <c r="G24" s="25"/>
      <c r="H24" s="26" t="str">
        <f t="shared" si="2"/>
        <v/>
      </c>
      <c r="I24" s="27" t="s">
        <v>235</v>
      </c>
      <c r="J24" s="27" t="s">
        <v>236</v>
      </c>
      <c r="K24" s="28" t="s">
        <v>237</v>
      </c>
      <c r="L24" s="28" t="s">
        <v>238</v>
      </c>
    </row>
    <row r="25" spans="1:12" ht="44" customHeight="1" x14ac:dyDescent="0.35">
      <c r="A25" s="21" t="s">
        <v>307</v>
      </c>
      <c r="B25" s="22" t="s">
        <v>287</v>
      </c>
      <c r="C25" s="22" t="s">
        <v>308</v>
      </c>
      <c r="D25" s="22" t="s">
        <v>309</v>
      </c>
      <c r="E25" s="22" t="s">
        <v>310</v>
      </c>
      <c r="F25" s="21" t="s">
        <v>152</v>
      </c>
      <c r="G25" s="29"/>
      <c r="H25" s="30" t="str">
        <f t="shared" si="2"/>
        <v/>
      </c>
      <c r="I25" s="31" t="s">
        <v>235</v>
      </c>
      <c r="J25" s="31" t="s">
        <v>236</v>
      </c>
      <c r="K25" s="32" t="s">
        <v>237</v>
      </c>
      <c r="L25" s="32" t="s">
        <v>238</v>
      </c>
    </row>
    <row r="26" spans="1:12" ht="44" customHeight="1" x14ac:dyDescent="0.35">
      <c r="A26" s="18" t="s">
        <v>311</v>
      </c>
      <c r="B26" s="19" t="s">
        <v>287</v>
      </c>
      <c r="C26" s="19" t="s">
        <v>312</v>
      </c>
      <c r="D26" s="19" t="s">
        <v>313</v>
      </c>
      <c r="E26" s="19" t="s">
        <v>314</v>
      </c>
      <c r="F26" s="18" t="s">
        <v>152</v>
      </c>
      <c r="G26" s="25"/>
      <c r="H26" s="26" t="str">
        <f t="shared" si="2"/>
        <v/>
      </c>
      <c r="I26" s="27" t="s">
        <v>235</v>
      </c>
      <c r="J26" s="27" t="s">
        <v>236</v>
      </c>
      <c r="K26" s="28" t="s">
        <v>237</v>
      </c>
      <c r="L26" s="28" t="s">
        <v>238</v>
      </c>
    </row>
    <row r="27" spans="1:12" ht="44" customHeight="1" x14ac:dyDescent="0.35">
      <c r="A27" s="21" t="s">
        <v>315</v>
      </c>
      <c r="B27" s="22" t="s">
        <v>287</v>
      </c>
      <c r="C27" s="22" t="s">
        <v>316</v>
      </c>
      <c r="D27" s="22" t="s">
        <v>317</v>
      </c>
      <c r="E27" s="22" t="s">
        <v>318</v>
      </c>
      <c r="F27" s="21" t="s">
        <v>152</v>
      </c>
      <c r="G27" s="29"/>
      <c r="H27" s="30" t="str">
        <f t="shared" si="2"/>
        <v/>
      </c>
      <c r="I27" s="31" t="s">
        <v>235</v>
      </c>
      <c r="J27" s="31" t="s">
        <v>236</v>
      </c>
      <c r="K27" s="32" t="s">
        <v>237</v>
      </c>
      <c r="L27" s="32" t="s">
        <v>238</v>
      </c>
    </row>
    <row r="28" spans="1:12" ht="44" customHeight="1" x14ac:dyDescent="0.35">
      <c r="A28" s="18" t="s">
        <v>319</v>
      </c>
      <c r="B28" s="19" t="s">
        <v>287</v>
      </c>
      <c r="C28" s="19" t="s">
        <v>320</v>
      </c>
      <c r="D28" s="19" t="s">
        <v>321</v>
      </c>
      <c r="E28" s="19" t="s">
        <v>322</v>
      </c>
      <c r="F28" s="18" t="s">
        <v>152</v>
      </c>
      <c r="G28" s="25"/>
      <c r="H28" s="26" t="str">
        <f t="shared" si="2"/>
        <v/>
      </c>
      <c r="I28" s="27" t="s">
        <v>235</v>
      </c>
      <c r="J28" s="27" t="s">
        <v>236</v>
      </c>
      <c r="K28" s="28" t="s">
        <v>237</v>
      </c>
      <c r="L28" s="28" t="s">
        <v>238</v>
      </c>
    </row>
    <row r="29" spans="1:12" ht="20" customHeight="1" x14ac:dyDescent="0.35">
      <c r="A29" s="65" t="s">
        <v>323</v>
      </c>
      <c r="B29" s="66"/>
      <c r="C29" s="66"/>
      <c r="D29" s="66"/>
      <c r="E29" s="66"/>
      <c r="F29" s="66"/>
      <c r="G29" s="66"/>
      <c r="H29" s="66"/>
      <c r="I29" s="66"/>
      <c r="J29" s="66"/>
      <c r="K29" s="66"/>
      <c r="L29" s="66"/>
    </row>
    <row r="30" spans="1:12" ht="44" customHeight="1" x14ac:dyDescent="0.35">
      <c r="A30" s="21" t="s">
        <v>324</v>
      </c>
      <c r="B30" s="22" t="s">
        <v>325</v>
      </c>
      <c r="C30" s="22" t="s">
        <v>326</v>
      </c>
      <c r="D30" s="22" t="s">
        <v>327</v>
      </c>
      <c r="E30" s="22" t="s">
        <v>328</v>
      </c>
      <c r="F30" s="21" t="s">
        <v>154</v>
      </c>
      <c r="G30" s="29"/>
      <c r="H30" s="30" t="str">
        <f>IF(G30="","",IF(G30&lt;=RED_MAX,"RED",IF(G30&lt;=AMBER_MAX,"AMBER","GREEN")))</f>
        <v/>
      </c>
      <c r="I30" s="31" t="s">
        <v>235</v>
      </c>
      <c r="J30" s="31" t="s">
        <v>236</v>
      </c>
      <c r="K30" s="32" t="s">
        <v>237</v>
      </c>
      <c r="L30" s="32" t="s">
        <v>238</v>
      </c>
    </row>
    <row r="31" spans="1:12" ht="44" customHeight="1" x14ac:dyDescent="0.35">
      <c r="A31" s="18" t="s">
        <v>329</v>
      </c>
      <c r="B31" s="19" t="s">
        <v>325</v>
      </c>
      <c r="C31" s="19" t="s">
        <v>330</v>
      </c>
      <c r="D31" s="19" t="s">
        <v>331</v>
      </c>
      <c r="E31" s="19" t="s">
        <v>332</v>
      </c>
      <c r="F31" s="18" t="s">
        <v>154</v>
      </c>
      <c r="G31" s="25"/>
      <c r="H31" s="26" t="str">
        <f>IF(G31="","",IF(G31&lt;=RED_MAX,"RED",IF(G31&lt;=AMBER_MAX,"AMBER","GREEN")))</f>
        <v/>
      </c>
      <c r="I31" s="27" t="s">
        <v>235</v>
      </c>
      <c r="J31" s="27" t="s">
        <v>236</v>
      </c>
      <c r="K31" s="28" t="s">
        <v>237</v>
      </c>
      <c r="L31" s="28" t="s">
        <v>238</v>
      </c>
    </row>
    <row r="32" spans="1:12" ht="44" customHeight="1" x14ac:dyDescent="0.35">
      <c r="A32" s="21" t="s">
        <v>333</v>
      </c>
      <c r="B32" s="22" t="s">
        <v>325</v>
      </c>
      <c r="C32" s="22" t="s">
        <v>334</v>
      </c>
      <c r="D32" s="22" t="s">
        <v>335</v>
      </c>
      <c r="E32" s="22" t="s">
        <v>336</v>
      </c>
      <c r="F32" s="21" t="s">
        <v>154</v>
      </c>
      <c r="G32" s="29"/>
      <c r="H32" s="30" t="str">
        <f>IF(G32="","",IF(G32&lt;=RED_MAX,"RED",IF(G32&lt;=AMBER_MAX,"AMBER","GREEN")))</f>
        <v/>
      </c>
      <c r="I32" s="31" t="s">
        <v>235</v>
      </c>
      <c r="J32" s="31" t="s">
        <v>236</v>
      </c>
      <c r="K32" s="32" t="s">
        <v>237</v>
      </c>
      <c r="L32" s="32" t="s">
        <v>238</v>
      </c>
    </row>
    <row r="33" spans="1:12" ht="44" customHeight="1" x14ac:dyDescent="0.35">
      <c r="A33" s="18" t="s">
        <v>337</v>
      </c>
      <c r="B33" s="19" t="s">
        <v>325</v>
      </c>
      <c r="C33" s="19" t="s">
        <v>338</v>
      </c>
      <c r="D33" s="19" t="s">
        <v>339</v>
      </c>
      <c r="E33" s="19" t="s">
        <v>340</v>
      </c>
      <c r="F33" s="18" t="s">
        <v>154</v>
      </c>
      <c r="G33" s="25"/>
      <c r="H33" s="26" t="str">
        <f>IF(G33="","",IF(G33&lt;=RED_MAX,"RED",IF(G33&lt;=AMBER_MAX,"AMBER","GREEN")))</f>
        <v/>
      </c>
      <c r="I33" s="27" t="s">
        <v>235</v>
      </c>
      <c r="J33" s="27" t="s">
        <v>236</v>
      </c>
      <c r="K33" s="28" t="s">
        <v>237</v>
      </c>
      <c r="L33" s="28" t="s">
        <v>238</v>
      </c>
    </row>
    <row r="34" spans="1:12" ht="44" customHeight="1" x14ac:dyDescent="0.35">
      <c r="A34" s="21" t="s">
        <v>341</v>
      </c>
      <c r="B34" s="22" t="s">
        <v>325</v>
      </c>
      <c r="C34" s="22" t="s">
        <v>342</v>
      </c>
      <c r="D34" s="22" t="s">
        <v>343</v>
      </c>
      <c r="E34" s="22" t="s">
        <v>344</v>
      </c>
      <c r="F34" s="21" t="s">
        <v>154</v>
      </c>
      <c r="G34" s="29"/>
      <c r="H34" s="30" t="str">
        <f>IF(G34="","",IF(G34&lt;=RED_MAX,"RED",IF(G34&lt;=AMBER_MAX,"AMBER","GREEN")))</f>
        <v/>
      </c>
      <c r="I34" s="31" t="s">
        <v>235</v>
      </c>
      <c r="J34" s="31" t="s">
        <v>236</v>
      </c>
      <c r="K34" s="32" t="s">
        <v>237</v>
      </c>
      <c r="L34" s="32" t="s">
        <v>238</v>
      </c>
    </row>
    <row r="35" spans="1:12" ht="20" customHeight="1" x14ac:dyDescent="0.35">
      <c r="A35" s="65" t="s">
        <v>345</v>
      </c>
      <c r="B35" s="66"/>
      <c r="C35" s="66"/>
      <c r="D35" s="66"/>
      <c r="E35" s="66"/>
      <c r="F35" s="66"/>
      <c r="G35" s="66"/>
      <c r="H35" s="66"/>
      <c r="I35" s="66"/>
      <c r="J35" s="66"/>
      <c r="K35" s="66"/>
      <c r="L35" s="66"/>
    </row>
    <row r="36" spans="1:12" ht="44" customHeight="1" x14ac:dyDescent="0.35">
      <c r="A36" s="18" t="s">
        <v>346</v>
      </c>
      <c r="B36" s="19" t="s">
        <v>347</v>
      </c>
      <c r="C36" s="19" t="s">
        <v>348</v>
      </c>
      <c r="D36" s="19" t="s">
        <v>349</v>
      </c>
      <c r="E36" s="19" t="s">
        <v>350</v>
      </c>
      <c r="F36" s="18" t="s">
        <v>156</v>
      </c>
      <c r="G36" s="25"/>
      <c r="H36" s="26" t="str">
        <f t="shared" ref="H36:H41" si="3">IF(G36="","",IF(G36&lt;=RED_MAX,"RED",IF(G36&lt;=AMBER_MAX,"AMBER","GREEN")))</f>
        <v/>
      </c>
      <c r="I36" s="27" t="s">
        <v>235</v>
      </c>
      <c r="J36" s="27" t="s">
        <v>236</v>
      </c>
      <c r="K36" s="28" t="s">
        <v>237</v>
      </c>
      <c r="L36" s="28" t="s">
        <v>238</v>
      </c>
    </row>
    <row r="37" spans="1:12" ht="44" customHeight="1" x14ac:dyDescent="0.35">
      <c r="A37" s="21" t="s">
        <v>351</v>
      </c>
      <c r="B37" s="22" t="s">
        <v>347</v>
      </c>
      <c r="C37" s="22" t="s">
        <v>352</v>
      </c>
      <c r="D37" s="22" t="s">
        <v>353</v>
      </c>
      <c r="E37" s="22" t="s">
        <v>354</v>
      </c>
      <c r="F37" s="21" t="s">
        <v>156</v>
      </c>
      <c r="G37" s="29"/>
      <c r="H37" s="30" t="str">
        <f t="shared" si="3"/>
        <v/>
      </c>
      <c r="I37" s="31" t="s">
        <v>235</v>
      </c>
      <c r="J37" s="31" t="s">
        <v>236</v>
      </c>
      <c r="K37" s="32" t="s">
        <v>237</v>
      </c>
      <c r="L37" s="32" t="s">
        <v>238</v>
      </c>
    </row>
    <row r="38" spans="1:12" ht="44" customHeight="1" x14ac:dyDescent="0.35">
      <c r="A38" s="18" t="s">
        <v>355</v>
      </c>
      <c r="B38" s="19" t="s">
        <v>347</v>
      </c>
      <c r="C38" s="19" t="s">
        <v>356</v>
      </c>
      <c r="D38" s="19" t="s">
        <v>357</v>
      </c>
      <c r="E38" s="19" t="s">
        <v>358</v>
      </c>
      <c r="F38" s="18" t="s">
        <v>156</v>
      </c>
      <c r="G38" s="25"/>
      <c r="H38" s="26" t="str">
        <f t="shared" si="3"/>
        <v/>
      </c>
      <c r="I38" s="27" t="s">
        <v>235</v>
      </c>
      <c r="J38" s="27" t="s">
        <v>236</v>
      </c>
      <c r="K38" s="28" t="s">
        <v>237</v>
      </c>
      <c r="L38" s="28" t="s">
        <v>238</v>
      </c>
    </row>
    <row r="39" spans="1:12" ht="44" customHeight="1" x14ac:dyDescent="0.35">
      <c r="A39" s="21" t="s">
        <v>359</v>
      </c>
      <c r="B39" s="22" t="s">
        <v>347</v>
      </c>
      <c r="C39" s="22" t="s">
        <v>360</v>
      </c>
      <c r="D39" s="22" t="s">
        <v>361</v>
      </c>
      <c r="E39" s="22" t="s">
        <v>362</v>
      </c>
      <c r="F39" s="21" t="s">
        <v>156</v>
      </c>
      <c r="G39" s="29"/>
      <c r="H39" s="30" t="str">
        <f t="shared" si="3"/>
        <v/>
      </c>
      <c r="I39" s="31" t="s">
        <v>235</v>
      </c>
      <c r="J39" s="31" t="s">
        <v>236</v>
      </c>
      <c r="K39" s="32" t="s">
        <v>237</v>
      </c>
      <c r="L39" s="32" t="s">
        <v>238</v>
      </c>
    </row>
    <row r="40" spans="1:12" ht="44" customHeight="1" x14ac:dyDescent="0.35">
      <c r="A40" s="18" t="s">
        <v>363</v>
      </c>
      <c r="B40" s="19" t="s">
        <v>347</v>
      </c>
      <c r="C40" s="19" t="s">
        <v>364</v>
      </c>
      <c r="D40" s="19" t="s">
        <v>365</v>
      </c>
      <c r="E40" s="19" t="s">
        <v>366</v>
      </c>
      <c r="F40" s="18" t="s">
        <v>156</v>
      </c>
      <c r="G40" s="25"/>
      <c r="H40" s="26" t="str">
        <f t="shared" si="3"/>
        <v/>
      </c>
      <c r="I40" s="27" t="s">
        <v>235</v>
      </c>
      <c r="J40" s="27" t="s">
        <v>236</v>
      </c>
      <c r="K40" s="28" t="s">
        <v>237</v>
      </c>
      <c r="L40" s="28" t="s">
        <v>238</v>
      </c>
    </row>
    <row r="41" spans="1:12" ht="42" customHeight="1" x14ac:dyDescent="0.35">
      <c r="A41" s="21" t="s">
        <v>367</v>
      </c>
      <c r="B41" s="22" t="s">
        <v>347</v>
      </c>
      <c r="C41" s="22" t="s">
        <v>368</v>
      </c>
      <c r="D41" s="22" t="s">
        <v>369</v>
      </c>
      <c r="E41" s="22" t="s">
        <v>370</v>
      </c>
      <c r="F41" s="21" t="s">
        <v>156</v>
      </c>
      <c r="G41" s="29"/>
      <c r="H41" s="30" t="str">
        <f t="shared" si="3"/>
        <v/>
      </c>
      <c r="I41" s="31" t="s">
        <v>235</v>
      </c>
      <c r="J41" s="31" t="s">
        <v>236</v>
      </c>
      <c r="K41" s="32" t="s">
        <v>237</v>
      </c>
      <c r="L41" s="32" t="s">
        <v>238</v>
      </c>
    </row>
    <row r="42" spans="1:12" ht="20" customHeight="1" x14ac:dyDescent="0.35">
      <c r="A42" s="65" t="s">
        <v>371</v>
      </c>
      <c r="B42" s="66"/>
      <c r="C42" s="66"/>
      <c r="D42" s="66"/>
      <c r="E42" s="66"/>
      <c r="F42" s="66"/>
      <c r="G42" s="66"/>
      <c r="H42" s="66"/>
      <c r="I42" s="66"/>
      <c r="J42" s="66"/>
      <c r="K42" s="66"/>
      <c r="L42" s="66"/>
    </row>
    <row r="43" spans="1:12" ht="44" customHeight="1" x14ac:dyDescent="0.35">
      <c r="A43" s="18" t="s">
        <v>372</v>
      </c>
      <c r="B43" s="19" t="s">
        <v>373</v>
      </c>
      <c r="C43" s="19" t="s">
        <v>374</v>
      </c>
      <c r="D43" s="19" t="s">
        <v>375</v>
      </c>
      <c r="E43" s="19" t="s">
        <v>376</v>
      </c>
      <c r="F43" s="18" t="s">
        <v>158</v>
      </c>
      <c r="G43" s="25"/>
      <c r="H43" s="26" t="str">
        <f t="shared" ref="H43:H48" si="4">IF(G43="","",IF(G43&lt;=RED_MAX,"RED",IF(G43&lt;=AMBER_MAX,"AMBER","GREEN")))</f>
        <v/>
      </c>
      <c r="I43" s="27" t="s">
        <v>235</v>
      </c>
      <c r="J43" s="27" t="s">
        <v>236</v>
      </c>
      <c r="K43" s="28" t="s">
        <v>237</v>
      </c>
      <c r="L43" s="28" t="s">
        <v>238</v>
      </c>
    </row>
    <row r="44" spans="1:12" ht="44" customHeight="1" x14ac:dyDescent="0.35">
      <c r="A44" s="21" t="s">
        <v>377</v>
      </c>
      <c r="B44" s="22" t="s">
        <v>373</v>
      </c>
      <c r="C44" s="22" t="s">
        <v>378</v>
      </c>
      <c r="D44" s="22" t="s">
        <v>379</v>
      </c>
      <c r="E44" s="22" t="s">
        <v>380</v>
      </c>
      <c r="F44" s="21" t="s">
        <v>158</v>
      </c>
      <c r="G44" s="29"/>
      <c r="H44" s="30" t="str">
        <f t="shared" si="4"/>
        <v/>
      </c>
      <c r="I44" s="31" t="s">
        <v>235</v>
      </c>
      <c r="J44" s="31" t="s">
        <v>236</v>
      </c>
      <c r="K44" s="32" t="s">
        <v>237</v>
      </c>
      <c r="L44" s="32" t="s">
        <v>238</v>
      </c>
    </row>
    <row r="45" spans="1:12" ht="44" customHeight="1" x14ac:dyDescent="0.35">
      <c r="A45" s="18" t="s">
        <v>381</v>
      </c>
      <c r="B45" s="19" t="s">
        <v>373</v>
      </c>
      <c r="C45" s="19" t="s">
        <v>382</v>
      </c>
      <c r="D45" s="19" t="s">
        <v>383</v>
      </c>
      <c r="E45" s="19" t="s">
        <v>384</v>
      </c>
      <c r="F45" s="18" t="s">
        <v>158</v>
      </c>
      <c r="G45" s="25"/>
      <c r="H45" s="26" t="str">
        <f t="shared" si="4"/>
        <v/>
      </c>
      <c r="I45" s="27" t="s">
        <v>235</v>
      </c>
      <c r="J45" s="27" t="s">
        <v>236</v>
      </c>
      <c r="K45" s="28" t="s">
        <v>237</v>
      </c>
      <c r="L45" s="28" t="s">
        <v>238</v>
      </c>
    </row>
    <row r="46" spans="1:12" ht="44" customHeight="1" x14ac:dyDescent="0.35">
      <c r="A46" s="21" t="s">
        <v>385</v>
      </c>
      <c r="B46" s="22" t="s">
        <v>373</v>
      </c>
      <c r="C46" s="22" t="s">
        <v>386</v>
      </c>
      <c r="D46" s="22" t="s">
        <v>387</v>
      </c>
      <c r="E46" s="22" t="s">
        <v>388</v>
      </c>
      <c r="F46" s="21" t="s">
        <v>158</v>
      </c>
      <c r="G46" s="29"/>
      <c r="H46" s="30" t="str">
        <f t="shared" si="4"/>
        <v/>
      </c>
      <c r="I46" s="31" t="s">
        <v>235</v>
      </c>
      <c r="J46" s="31" t="s">
        <v>236</v>
      </c>
      <c r="K46" s="32" t="s">
        <v>237</v>
      </c>
      <c r="L46" s="32" t="s">
        <v>238</v>
      </c>
    </row>
    <row r="47" spans="1:12" ht="44" customHeight="1" x14ac:dyDescent="0.35">
      <c r="A47" s="18" t="s">
        <v>389</v>
      </c>
      <c r="B47" s="19" t="s">
        <v>373</v>
      </c>
      <c r="C47" s="19" t="s">
        <v>390</v>
      </c>
      <c r="D47" s="19" t="s">
        <v>391</v>
      </c>
      <c r="E47" s="19" t="s">
        <v>392</v>
      </c>
      <c r="F47" s="18" t="s">
        <v>158</v>
      </c>
      <c r="G47" s="25"/>
      <c r="H47" s="26" t="str">
        <f t="shared" si="4"/>
        <v/>
      </c>
      <c r="I47" s="27" t="s">
        <v>235</v>
      </c>
      <c r="J47" s="27" t="s">
        <v>236</v>
      </c>
      <c r="K47" s="28" t="s">
        <v>237</v>
      </c>
      <c r="L47" s="28" t="s">
        <v>238</v>
      </c>
    </row>
    <row r="48" spans="1:12" ht="44" customHeight="1" x14ac:dyDescent="0.35">
      <c r="A48" s="21" t="s">
        <v>393</v>
      </c>
      <c r="B48" s="22" t="s">
        <v>373</v>
      </c>
      <c r="C48" s="22" t="s">
        <v>394</v>
      </c>
      <c r="D48" s="22" t="s">
        <v>395</v>
      </c>
      <c r="E48" s="22" t="s">
        <v>396</v>
      </c>
      <c r="F48" s="21" t="s">
        <v>158</v>
      </c>
      <c r="G48" s="29"/>
      <c r="H48" s="30" t="str">
        <f t="shared" si="4"/>
        <v/>
      </c>
      <c r="I48" s="31" t="s">
        <v>235</v>
      </c>
      <c r="J48" s="31" t="s">
        <v>236</v>
      </c>
      <c r="K48" s="32" t="s">
        <v>237</v>
      </c>
      <c r="L48" s="32" t="s">
        <v>238</v>
      </c>
    </row>
    <row r="49" spans="1:12" ht="20" customHeight="1" x14ac:dyDescent="0.35">
      <c r="A49" s="65" t="s">
        <v>397</v>
      </c>
      <c r="B49" s="66"/>
      <c r="C49" s="66"/>
      <c r="D49" s="66"/>
      <c r="E49" s="66"/>
      <c r="F49" s="66"/>
      <c r="G49" s="66"/>
      <c r="H49" s="66"/>
      <c r="I49" s="66"/>
      <c r="J49" s="66"/>
      <c r="K49" s="66"/>
      <c r="L49" s="66"/>
    </row>
    <row r="50" spans="1:12" ht="44" customHeight="1" x14ac:dyDescent="0.35">
      <c r="A50" s="18" t="s">
        <v>398</v>
      </c>
      <c r="B50" s="19" t="s">
        <v>399</v>
      </c>
      <c r="C50" s="19" t="s">
        <v>400</v>
      </c>
      <c r="D50" s="19" t="s">
        <v>401</v>
      </c>
      <c r="E50" s="19" t="s">
        <v>402</v>
      </c>
      <c r="F50" s="18" t="s">
        <v>160</v>
      </c>
      <c r="G50" s="25"/>
      <c r="H50" s="26" t="str">
        <f>IF(G50="","",IF(G50&lt;=RED_MAX,"RED",IF(G50&lt;=AMBER_MAX,"AMBER","GREEN")))</f>
        <v/>
      </c>
      <c r="I50" s="27" t="s">
        <v>235</v>
      </c>
      <c r="J50" s="27" t="s">
        <v>236</v>
      </c>
      <c r="K50" s="28" t="s">
        <v>237</v>
      </c>
      <c r="L50" s="28" t="s">
        <v>238</v>
      </c>
    </row>
    <row r="51" spans="1:12" ht="44" customHeight="1" x14ac:dyDescent="0.35">
      <c r="A51" s="21" t="s">
        <v>403</v>
      </c>
      <c r="B51" s="22" t="s">
        <v>399</v>
      </c>
      <c r="C51" s="22" t="s">
        <v>404</v>
      </c>
      <c r="D51" s="22" t="s">
        <v>405</v>
      </c>
      <c r="E51" s="22" t="s">
        <v>406</v>
      </c>
      <c r="F51" s="21" t="s">
        <v>160</v>
      </c>
      <c r="G51" s="29"/>
      <c r="H51" s="30" t="str">
        <f>IF(G51="","",IF(G51&lt;=RED_MAX,"RED",IF(G51&lt;=AMBER_MAX,"AMBER","GREEN")))</f>
        <v/>
      </c>
      <c r="I51" s="31" t="s">
        <v>235</v>
      </c>
      <c r="J51" s="31" t="s">
        <v>236</v>
      </c>
      <c r="K51" s="32" t="s">
        <v>237</v>
      </c>
      <c r="L51" s="32" t="s">
        <v>238</v>
      </c>
    </row>
    <row r="52" spans="1:12" ht="44" customHeight="1" x14ac:dyDescent="0.35">
      <c r="A52" s="18" t="s">
        <v>407</v>
      </c>
      <c r="B52" s="19" t="s">
        <v>399</v>
      </c>
      <c r="C52" s="19" t="s">
        <v>408</v>
      </c>
      <c r="D52" s="19" t="s">
        <v>409</v>
      </c>
      <c r="E52" s="19" t="s">
        <v>410</v>
      </c>
      <c r="F52" s="18" t="s">
        <v>160</v>
      </c>
      <c r="G52" s="25"/>
      <c r="H52" s="26" t="str">
        <f>IF(G52="","",IF(G52&lt;=RED_MAX,"RED",IF(G52&lt;=AMBER_MAX,"AMBER","GREEN")))</f>
        <v/>
      </c>
      <c r="I52" s="27" t="s">
        <v>235</v>
      </c>
      <c r="J52" s="27" t="s">
        <v>236</v>
      </c>
      <c r="K52" s="28" t="s">
        <v>237</v>
      </c>
      <c r="L52" s="28" t="s">
        <v>238</v>
      </c>
    </row>
    <row r="53" spans="1:12" ht="44" customHeight="1" x14ac:dyDescent="0.35">
      <c r="A53" s="21" t="s">
        <v>411</v>
      </c>
      <c r="B53" s="22" t="s">
        <v>399</v>
      </c>
      <c r="C53" s="22" t="s">
        <v>412</v>
      </c>
      <c r="D53" s="22" t="s">
        <v>413</v>
      </c>
      <c r="E53" s="22" t="s">
        <v>414</v>
      </c>
      <c r="F53" s="21" t="s">
        <v>160</v>
      </c>
      <c r="G53" s="29"/>
      <c r="H53" s="30" t="str">
        <f>IF(G53="","",IF(G53&lt;=RED_MAX,"RED",IF(G53&lt;=AMBER_MAX,"AMBER","GREEN")))</f>
        <v/>
      </c>
      <c r="I53" s="31" t="s">
        <v>235</v>
      </c>
      <c r="J53" s="31" t="s">
        <v>236</v>
      </c>
      <c r="K53" s="32" t="s">
        <v>237</v>
      </c>
      <c r="L53" s="32" t="s">
        <v>238</v>
      </c>
    </row>
    <row r="54" spans="1:12" ht="44" customHeight="1" x14ac:dyDescent="0.35">
      <c r="A54" s="18" t="s">
        <v>415</v>
      </c>
      <c r="B54" s="19" t="s">
        <v>399</v>
      </c>
      <c r="C54" s="19" t="s">
        <v>416</v>
      </c>
      <c r="D54" s="19" t="s">
        <v>417</v>
      </c>
      <c r="E54" s="19" t="s">
        <v>418</v>
      </c>
      <c r="F54" s="18" t="s">
        <v>160</v>
      </c>
      <c r="G54" s="25"/>
      <c r="H54" s="26" t="str">
        <f>IF(G54="","",IF(G54&lt;=RED_MAX,"RED",IF(G54&lt;=AMBER_MAX,"AMBER","GREEN")))</f>
        <v/>
      </c>
      <c r="I54" s="27" t="s">
        <v>235</v>
      </c>
      <c r="J54" s="27" t="s">
        <v>236</v>
      </c>
      <c r="K54" s="28" t="s">
        <v>237</v>
      </c>
      <c r="L54" s="28" t="s">
        <v>238</v>
      </c>
    </row>
  </sheetData>
  <mergeCells count="9">
    <mergeCell ref="A1:L1"/>
    <mergeCell ref="A5:L5"/>
    <mergeCell ref="A35:L35"/>
    <mergeCell ref="A12:L12"/>
    <mergeCell ref="A2:L2"/>
    <mergeCell ref="A29:L29"/>
    <mergeCell ref="A42:L42"/>
    <mergeCell ref="A19:L19"/>
    <mergeCell ref="A49:L49"/>
  </mergeCells>
  <conditionalFormatting sqref="G5:G54">
    <cfRule type="expression" dxfId="84" priority="1">
      <formula>$H5="RED"</formula>
    </cfRule>
    <cfRule type="expression" dxfId="83" priority="3">
      <formula>$H5="AMBER"</formula>
    </cfRule>
    <cfRule type="expression" dxfId="82" priority="5">
      <formula>$H5="GREEN"</formula>
    </cfRule>
  </conditionalFormatting>
  <conditionalFormatting sqref="H5:H54">
    <cfRule type="expression" dxfId="81" priority="2">
      <formula>$H5="RED"</formula>
    </cfRule>
    <cfRule type="expression" dxfId="80" priority="4">
      <formula>$H5="AMBER"</formula>
    </cfRule>
    <cfRule type="expression" dxfId="79" priority="6">
      <formula>$H5="GREEN"</formula>
    </cfRule>
  </conditionalFormatting>
  <dataValidations count="1">
    <dataValidation type="whole" allowBlank="1" showErrorMessage="1" errorTitle="Invalid Score" error="Please enter a whole score between 1 and 5" sqref="G5:G54" xr:uid="{00000000-0002-0000-0200-000000000000}">
      <formula1>1</formula1>
      <formula2>5</formula2>
    </dataValidation>
  </dataValidations>
  <pageMargins left="0.75" right="0.75" top="1" bottom="1"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548235"/>
    <pageSetUpPr fitToPage="1"/>
  </sheetPr>
  <dimension ref="A1:L43"/>
  <sheetViews>
    <sheetView showGridLines="0" workbookViewId="0">
      <pane xSplit="3" ySplit="4" topLeftCell="D5" activePane="bottomRight" state="frozen"/>
      <selection pane="topRight"/>
      <selection pane="bottomLeft"/>
      <selection pane="bottomRight"/>
    </sheetView>
  </sheetViews>
  <sheetFormatPr defaultRowHeight="14.5" x14ac:dyDescent="0.35"/>
  <cols>
    <col min="1" max="1" width="10.7265625" customWidth="1"/>
    <col min="2" max="2" width="22" customWidth="1"/>
    <col min="3" max="3" width="28" customWidth="1"/>
    <col min="4" max="4" width="48" customWidth="1"/>
    <col min="5" max="5" width="36" customWidth="1"/>
    <col min="6" max="6" width="8" customWidth="1"/>
    <col min="7" max="7" width="8.453125" customWidth="1"/>
    <col min="8" max="8" width="10.7265625" customWidth="1"/>
    <col min="9" max="10" width="34" customWidth="1"/>
    <col min="11" max="11" width="14" customWidth="1"/>
    <col min="12" max="12" width="12" customWidth="1"/>
  </cols>
  <sheetData>
    <row r="1" spans="1:12" ht="32" customHeight="1" x14ac:dyDescent="0.35">
      <c r="A1" s="63" t="s">
        <v>419</v>
      </c>
      <c r="B1" s="54"/>
      <c r="C1" s="54"/>
      <c r="D1" s="54"/>
      <c r="E1" s="54"/>
      <c r="F1" s="54"/>
      <c r="G1" s="54"/>
      <c r="H1" s="54"/>
      <c r="I1" s="54"/>
      <c r="J1" s="54"/>
      <c r="K1" s="54"/>
      <c r="L1" s="54"/>
    </row>
    <row r="2" spans="1:12" ht="22" customHeight="1" x14ac:dyDescent="0.35">
      <c r="A2" s="64" t="s">
        <v>420</v>
      </c>
      <c r="B2" s="54"/>
      <c r="C2" s="54"/>
      <c r="D2" s="54"/>
      <c r="E2" s="54"/>
      <c r="F2" s="54"/>
      <c r="G2" s="54"/>
      <c r="H2" s="54"/>
      <c r="I2" s="54"/>
      <c r="J2" s="54"/>
      <c r="K2" s="54"/>
      <c r="L2" s="54"/>
    </row>
    <row r="4" spans="1:12" ht="34" customHeight="1" x14ac:dyDescent="0.35">
      <c r="A4" s="3" t="s">
        <v>217</v>
      </c>
      <c r="B4" s="3" t="s">
        <v>218</v>
      </c>
      <c r="C4" s="3" t="s">
        <v>219</v>
      </c>
      <c r="D4" s="3" t="s">
        <v>220</v>
      </c>
      <c r="E4" s="3" t="s">
        <v>221</v>
      </c>
      <c r="F4" s="3" t="s">
        <v>222</v>
      </c>
      <c r="G4" s="3" t="s">
        <v>223</v>
      </c>
      <c r="H4" s="3" t="s">
        <v>224</v>
      </c>
      <c r="I4" s="3" t="s">
        <v>225</v>
      </c>
      <c r="J4" s="3" t="s">
        <v>226</v>
      </c>
      <c r="K4" s="3" t="s">
        <v>227</v>
      </c>
      <c r="L4" s="3" t="s">
        <v>228</v>
      </c>
    </row>
    <row r="5" spans="1:12" ht="20" customHeight="1" x14ac:dyDescent="0.35">
      <c r="A5" s="65" t="s">
        <v>421</v>
      </c>
      <c r="B5" s="66"/>
      <c r="C5" s="66"/>
      <c r="D5" s="66"/>
      <c r="E5" s="66"/>
      <c r="F5" s="66"/>
      <c r="G5" s="66"/>
      <c r="H5" s="66"/>
      <c r="I5" s="66"/>
      <c r="J5" s="66"/>
      <c r="K5" s="66"/>
      <c r="L5" s="66"/>
    </row>
    <row r="6" spans="1:12" ht="44" customHeight="1" x14ac:dyDescent="0.35">
      <c r="A6" s="18" t="s">
        <v>422</v>
      </c>
      <c r="B6" s="19" t="s">
        <v>423</v>
      </c>
      <c r="C6" s="19" t="s">
        <v>424</v>
      </c>
      <c r="D6" s="19" t="s">
        <v>425</v>
      </c>
      <c r="E6" s="19" t="s">
        <v>426</v>
      </c>
      <c r="F6" s="18" t="s">
        <v>162</v>
      </c>
      <c r="G6" s="25"/>
      <c r="H6" s="26" t="str">
        <f>IF(G6="","",IF(G6&lt;=RED_MAX,"RED",IF(G6&lt;=AMBER_MAX,"AMBER","GREEN")))</f>
        <v/>
      </c>
      <c r="I6" s="27" t="s">
        <v>235</v>
      </c>
      <c r="J6" s="27" t="s">
        <v>236</v>
      </c>
      <c r="K6" s="28" t="s">
        <v>237</v>
      </c>
      <c r="L6" s="28" t="s">
        <v>238</v>
      </c>
    </row>
    <row r="7" spans="1:12" ht="44" customHeight="1" x14ac:dyDescent="0.35">
      <c r="A7" s="21" t="s">
        <v>427</v>
      </c>
      <c r="B7" s="22" t="s">
        <v>423</v>
      </c>
      <c r="C7" s="22" t="s">
        <v>428</v>
      </c>
      <c r="D7" s="22" t="s">
        <v>429</v>
      </c>
      <c r="E7" s="22" t="s">
        <v>430</v>
      </c>
      <c r="F7" s="21" t="s">
        <v>162</v>
      </c>
      <c r="G7" s="29"/>
      <c r="H7" s="30" t="str">
        <f>IF(G7="","",IF(G7&lt;=RED_MAX,"RED",IF(G7&lt;=AMBER_MAX,"AMBER","GREEN")))</f>
        <v/>
      </c>
      <c r="I7" s="31" t="s">
        <v>235</v>
      </c>
      <c r="J7" s="31" t="s">
        <v>236</v>
      </c>
      <c r="K7" s="32" t="s">
        <v>237</v>
      </c>
      <c r="L7" s="32" t="s">
        <v>238</v>
      </c>
    </row>
    <row r="8" spans="1:12" ht="44" customHeight="1" x14ac:dyDescent="0.35">
      <c r="A8" s="18" t="s">
        <v>431</v>
      </c>
      <c r="B8" s="19" t="s">
        <v>423</v>
      </c>
      <c r="C8" s="19" t="s">
        <v>432</v>
      </c>
      <c r="D8" s="19" t="s">
        <v>433</v>
      </c>
      <c r="E8" s="19" t="s">
        <v>434</v>
      </c>
      <c r="F8" s="18" t="s">
        <v>162</v>
      </c>
      <c r="G8" s="25"/>
      <c r="H8" s="26" t="str">
        <f>IF(G8="","",IF(G8&lt;=RED_MAX,"RED",IF(G8&lt;=AMBER_MAX,"AMBER","GREEN")))</f>
        <v/>
      </c>
      <c r="I8" s="27" t="s">
        <v>235</v>
      </c>
      <c r="J8" s="27" t="s">
        <v>236</v>
      </c>
      <c r="K8" s="28" t="s">
        <v>237</v>
      </c>
      <c r="L8" s="28" t="s">
        <v>238</v>
      </c>
    </row>
    <row r="9" spans="1:12" ht="42" customHeight="1" x14ac:dyDescent="0.35">
      <c r="A9" s="21" t="s">
        <v>435</v>
      </c>
      <c r="B9" s="22" t="s">
        <v>423</v>
      </c>
      <c r="C9" s="22" t="s">
        <v>436</v>
      </c>
      <c r="D9" s="22" t="s">
        <v>437</v>
      </c>
      <c r="E9" s="22" t="s">
        <v>438</v>
      </c>
      <c r="F9" s="21" t="s">
        <v>162</v>
      </c>
      <c r="G9" s="29"/>
      <c r="H9" s="30" t="str">
        <f>IF(G9="","",IF(G9&lt;=RED_MAX,"RED",IF(G9&lt;=AMBER_MAX,"AMBER","GREEN")))</f>
        <v/>
      </c>
      <c r="I9" s="31" t="s">
        <v>235</v>
      </c>
      <c r="J9" s="31" t="s">
        <v>236</v>
      </c>
      <c r="K9" s="32" t="s">
        <v>237</v>
      </c>
      <c r="L9" s="32" t="s">
        <v>238</v>
      </c>
    </row>
    <row r="10" spans="1:12" ht="44" customHeight="1" x14ac:dyDescent="0.35">
      <c r="A10" s="18" t="s">
        <v>439</v>
      </c>
      <c r="B10" s="19" t="s">
        <v>423</v>
      </c>
      <c r="C10" s="19" t="s">
        <v>440</v>
      </c>
      <c r="D10" s="19" t="s">
        <v>441</v>
      </c>
      <c r="E10" s="19" t="s">
        <v>442</v>
      </c>
      <c r="F10" s="18" t="s">
        <v>162</v>
      </c>
      <c r="G10" s="25"/>
      <c r="H10" s="26" t="str">
        <f>IF(G10="","",IF(G10&lt;=RED_MAX,"RED",IF(G10&lt;=AMBER_MAX,"AMBER","GREEN")))</f>
        <v/>
      </c>
      <c r="I10" s="27" t="s">
        <v>235</v>
      </c>
      <c r="J10" s="27" t="s">
        <v>236</v>
      </c>
      <c r="K10" s="28" t="s">
        <v>237</v>
      </c>
      <c r="L10" s="28" t="s">
        <v>238</v>
      </c>
    </row>
    <row r="11" spans="1:12" ht="20" customHeight="1" x14ac:dyDescent="0.35">
      <c r="A11" s="65" t="s">
        <v>443</v>
      </c>
      <c r="B11" s="66"/>
      <c r="C11" s="66"/>
      <c r="D11" s="66"/>
      <c r="E11" s="66"/>
      <c r="F11" s="66"/>
      <c r="G11" s="66"/>
      <c r="H11" s="66"/>
      <c r="I11" s="66"/>
      <c r="J11" s="66"/>
      <c r="K11" s="66"/>
      <c r="L11" s="66"/>
    </row>
    <row r="12" spans="1:12" ht="44" customHeight="1" x14ac:dyDescent="0.35">
      <c r="A12" s="21" t="s">
        <v>444</v>
      </c>
      <c r="B12" s="22" t="s">
        <v>445</v>
      </c>
      <c r="C12" s="22" t="s">
        <v>446</v>
      </c>
      <c r="D12" s="22" t="s">
        <v>447</v>
      </c>
      <c r="E12" s="22" t="s">
        <v>448</v>
      </c>
      <c r="F12" s="21" t="s">
        <v>162</v>
      </c>
      <c r="G12" s="29"/>
      <c r="H12" s="30" t="str">
        <f>IF(G12="","",IF(G12&lt;=RED_MAX,"RED",IF(G12&lt;=AMBER_MAX,"AMBER","GREEN")))</f>
        <v/>
      </c>
      <c r="I12" s="31" t="s">
        <v>235</v>
      </c>
      <c r="J12" s="31" t="s">
        <v>236</v>
      </c>
      <c r="K12" s="32" t="s">
        <v>237</v>
      </c>
      <c r="L12" s="32" t="s">
        <v>238</v>
      </c>
    </row>
    <row r="13" spans="1:12" ht="44" customHeight="1" x14ac:dyDescent="0.35">
      <c r="A13" s="18" t="s">
        <v>449</v>
      </c>
      <c r="B13" s="19" t="s">
        <v>445</v>
      </c>
      <c r="C13" s="19" t="s">
        <v>450</v>
      </c>
      <c r="D13" s="19" t="s">
        <v>451</v>
      </c>
      <c r="E13" s="19" t="s">
        <v>452</v>
      </c>
      <c r="F13" s="18" t="s">
        <v>162</v>
      </c>
      <c r="G13" s="25"/>
      <c r="H13" s="26" t="str">
        <f>IF(G13="","",IF(G13&lt;=RED_MAX,"RED",IF(G13&lt;=AMBER_MAX,"AMBER","GREEN")))</f>
        <v/>
      </c>
      <c r="I13" s="27" t="s">
        <v>235</v>
      </c>
      <c r="J13" s="27" t="s">
        <v>236</v>
      </c>
      <c r="K13" s="28" t="s">
        <v>237</v>
      </c>
      <c r="L13" s="28" t="s">
        <v>238</v>
      </c>
    </row>
    <row r="14" spans="1:12" ht="44" customHeight="1" x14ac:dyDescent="0.35">
      <c r="A14" s="21" t="s">
        <v>453</v>
      </c>
      <c r="B14" s="22" t="s">
        <v>445</v>
      </c>
      <c r="C14" s="22" t="s">
        <v>454</v>
      </c>
      <c r="D14" s="22" t="s">
        <v>455</v>
      </c>
      <c r="E14" s="22" t="s">
        <v>456</v>
      </c>
      <c r="F14" s="21" t="s">
        <v>162</v>
      </c>
      <c r="G14" s="29"/>
      <c r="H14" s="30" t="str">
        <f>IF(G14="","",IF(G14&lt;=RED_MAX,"RED",IF(G14&lt;=AMBER_MAX,"AMBER","GREEN")))</f>
        <v/>
      </c>
      <c r="I14" s="31" t="s">
        <v>235</v>
      </c>
      <c r="J14" s="31" t="s">
        <v>236</v>
      </c>
      <c r="K14" s="32" t="s">
        <v>237</v>
      </c>
      <c r="L14" s="32" t="s">
        <v>238</v>
      </c>
    </row>
    <row r="15" spans="1:12" ht="42" customHeight="1" x14ac:dyDescent="0.35">
      <c r="A15" s="18" t="s">
        <v>457</v>
      </c>
      <c r="B15" s="19" t="s">
        <v>445</v>
      </c>
      <c r="C15" s="19" t="s">
        <v>458</v>
      </c>
      <c r="D15" s="19" t="s">
        <v>459</v>
      </c>
      <c r="E15" s="19" t="s">
        <v>460</v>
      </c>
      <c r="F15" s="18" t="s">
        <v>162</v>
      </c>
      <c r="G15" s="25"/>
      <c r="H15" s="26" t="str">
        <f>IF(G15="","",IF(G15&lt;=RED_MAX,"RED",IF(G15&lt;=AMBER_MAX,"AMBER","GREEN")))</f>
        <v/>
      </c>
      <c r="I15" s="27" t="s">
        <v>235</v>
      </c>
      <c r="J15" s="27" t="s">
        <v>236</v>
      </c>
      <c r="K15" s="28" t="s">
        <v>237</v>
      </c>
      <c r="L15" s="28" t="s">
        <v>238</v>
      </c>
    </row>
    <row r="16" spans="1:12" ht="44" customHeight="1" x14ac:dyDescent="0.35">
      <c r="A16" s="21" t="s">
        <v>461</v>
      </c>
      <c r="B16" s="22" t="s">
        <v>445</v>
      </c>
      <c r="C16" s="22" t="s">
        <v>462</v>
      </c>
      <c r="D16" s="22" t="s">
        <v>463</v>
      </c>
      <c r="E16" s="22" t="s">
        <v>464</v>
      </c>
      <c r="F16" s="21" t="s">
        <v>162</v>
      </c>
      <c r="G16" s="29"/>
      <c r="H16" s="30" t="str">
        <f>IF(G16="","",IF(G16&lt;=RED_MAX,"RED",IF(G16&lt;=AMBER_MAX,"AMBER","GREEN")))</f>
        <v/>
      </c>
      <c r="I16" s="31" t="s">
        <v>235</v>
      </c>
      <c r="J16" s="31" t="s">
        <v>236</v>
      </c>
      <c r="K16" s="32" t="s">
        <v>237</v>
      </c>
      <c r="L16" s="32" t="s">
        <v>238</v>
      </c>
    </row>
    <row r="17" spans="1:12" ht="20" customHeight="1" x14ac:dyDescent="0.35">
      <c r="A17" s="65" t="s">
        <v>465</v>
      </c>
      <c r="B17" s="66"/>
      <c r="C17" s="66"/>
      <c r="D17" s="66"/>
      <c r="E17" s="66"/>
      <c r="F17" s="66"/>
      <c r="G17" s="66"/>
      <c r="H17" s="66"/>
      <c r="I17" s="66"/>
      <c r="J17" s="66"/>
      <c r="K17" s="66"/>
      <c r="L17" s="66"/>
    </row>
    <row r="18" spans="1:12" ht="44" customHeight="1" x14ac:dyDescent="0.35">
      <c r="A18" s="18" t="s">
        <v>466</v>
      </c>
      <c r="B18" s="19" t="s">
        <v>467</v>
      </c>
      <c r="C18" s="19" t="s">
        <v>468</v>
      </c>
      <c r="D18" s="19" t="s">
        <v>469</v>
      </c>
      <c r="E18" s="19" t="s">
        <v>470</v>
      </c>
      <c r="F18" s="18" t="s">
        <v>162</v>
      </c>
      <c r="G18" s="25"/>
      <c r="H18" s="26" t="str">
        <f>IF(G18="","",IF(G18&lt;=RED_MAX,"RED",IF(G18&lt;=AMBER_MAX,"AMBER","GREEN")))</f>
        <v/>
      </c>
      <c r="I18" s="27" t="s">
        <v>235</v>
      </c>
      <c r="J18" s="27" t="s">
        <v>236</v>
      </c>
      <c r="K18" s="28" t="s">
        <v>237</v>
      </c>
      <c r="L18" s="28" t="s">
        <v>238</v>
      </c>
    </row>
    <row r="19" spans="1:12" ht="44" customHeight="1" x14ac:dyDescent="0.35">
      <c r="A19" s="21" t="s">
        <v>471</v>
      </c>
      <c r="B19" s="22" t="s">
        <v>467</v>
      </c>
      <c r="C19" s="22" t="s">
        <v>472</v>
      </c>
      <c r="D19" s="22" t="s">
        <v>473</v>
      </c>
      <c r="E19" s="22" t="s">
        <v>474</v>
      </c>
      <c r="F19" s="21" t="s">
        <v>162</v>
      </c>
      <c r="G19" s="29"/>
      <c r="H19" s="30" t="str">
        <f>IF(G19="","",IF(G19&lt;=RED_MAX,"RED",IF(G19&lt;=AMBER_MAX,"AMBER","GREEN")))</f>
        <v/>
      </c>
      <c r="I19" s="31" t="s">
        <v>235</v>
      </c>
      <c r="J19" s="31" t="s">
        <v>236</v>
      </c>
      <c r="K19" s="32" t="s">
        <v>237</v>
      </c>
      <c r="L19" s="32" t="s">
        <v>238</v>
      </c>
    </row>
    <row r="20" spans="1:12" ht="42" customHeight="1" x14ac:dyDescent="0.35">
      <c r="A20" s="18" t="s">
        <v>475</v>
      </c>
      <c r="B20" s="19" t="s">
        <v>467</v>
      </c>
      <c r="C20" s="19" t="s">
        <v>476</v>
      </c>
      <c r="D20" s="19" t="s">
        <v>477</v>
      </c>
      <c r="E20" s="19" t="s">
        <v>478</v>
      </c>
      <c r="F20" s="18" t="s">
        <v>162</v>
      </c>
      <c r="G20" s="25"/>
      <c r="H20" s="26" t="str">
        <f>IF(G20="","",IF(G20&lt;=RED_MAX,"RED",IF(G20&lt;=AMBER_MAX,"AMBER","GREEN")))</f>
        <v/>
      </c>
      <c r="I20" s="27" t="s">
        <v>235</v>
      </c>
      <c r="J20" s="27" t="s">
        <v>236</v>
      </c>
      <c r="K20" s="28" t="s">
        <v>237</v>
      </c>
      <c r="L20" s="28" t="s">
        <v>238</v>
      </c>
    </row>
    <row r="21" spans="1:12" ht="44" customHeight="1" x14ac:dyDescent="0.35">
      <c r="A21" s="21" t="s">
        <v>479</v>
      </c>
      <c r="B21" s="22" t="s">
        <v>467</v>
      </c>
      <c r="C21" s="22" t="s">
        <v>480</v>
      </c>
      <c r="D21" s="22" t="s">
        <v>481</v>
      </c>
      <c r="E21" s="22" t="s">
        <v>482</v>
      </c>
      <c r="F21" s="21" t="s">
        <v>162</v>
      </c>
      <c r="G21" s="29"/>
      <c r="H21" s="30" t="str">
        <f>IF(G21="","",IF(G21&lt;=RED_MAX,"RED",IF(G21&lt;=AMBER_MAX,"AMBER","GREEN")))</f>
        <v/>
      </c>
      <c r="I21" s="31" t="s">
        <v>235</v>
      </c>
      <c r="J21" s="31" t="s">
        <v>236</v>
      </c>
      <c r="K21" s="32" t="s">
        <v>237</v>
      </c>
      <c r="L21" s="32" t="s">
        <v>238</v>
      </c>
    </row>
    <row r="22" spans="1:12" ht="20" customHeight="1" x14ac:dyDescent="0.35">
      <c r="A22" s="65" t="s">
        <v>483</v>
      </c>
      <c r="B22" s="66"/>
      <c r="C22" s="66"/>
      <c r="D22" s="66"/>
      <c r="E22" s="66"/>
      <c r="F22" s="66"/>
      <c r="G22" s="66"/>
      <c r="H22" s="66"/>
      <c r="I22" s="66"/>
      <c r="J22" s="66"/>
      <c r="K22" s="66"/>
      <c r="L22" s="66"/>
    </row>
    <row r="23" spans="1:12" ht="42" customHeight="1" x14ac:dyDescent="0.35">
      <c r="A23" s="18" t="s">
        <v>484</v>
      </c>
      <c r="B23" s="19" t="s">
        <v>485</v>
      </c>
      <c r="C23" s="19" t="s">
        <v>486</v>
      </c>
      <c r="D23" s="19" t="s">
        <v>487</v>
      </c>
      <c r="E23" s="19" t="s">
        <v>488</v>
      </c>
      <c r="F23" s="18" t="s">
        <v>162</v>
      </c>
      <c r="G23" s="25"/>
      <c r="H23" s="26" t="str">
        <f>IF(G23="","",IF(G23&lt;=RED_MAX,"RED",IF(G23&lt;=AMBER_MAX,"AMBER","GREEN")))</f>
        <v/>
      </c>
      <c r="I23" s="27" t="s">
        <v>235</v>
      </c>
      <c r="J23" s="27" t="s">
        <v>236</v>
      </c>
      <c r="K23" s="28" t="s">
        <v>237</v>
      </c>
      <c r="L23" s="28" t="s">
        <v>238</v>
      </c>
    </row>
    <row r="24" spans="1:12" ht="44" customHeight="1" x14ac:dyDescent="0.35">
      <c r="A24" s="21" t="s">
        <v>489</v>
      </c>
      <c r="B24" s="22" t="s">
        <v>485</v>
      </c>
      <c r="C24" s="22" t="s">
        <v>490</v>
      </c>
      <c r="D24" s="22" t="s">
        <v>491</v>
      </c>
      <c r="E24" s="22" t="s">
        <v>492</v>
      </c>
      <c r="F24" s="21" t="s">
        <v>162</v>
      </c>
      <c r="G24" s="29"/>
      <c r="H24" s="30" t="str">
        <f>IF(G24="","",IF(G24&lt;=RED_MAX,"RED",IF(G24&lt;=AMBER_MAX,"AMBER","GREEN")))</f>
        <v/>
      </c>
      <c r="I24" s="31" t="s">
        <v>235</v>
      </c>
      <c r="J24" s="31" t="s">
        <v>236</v>
      </c>
      <c r="K24" s="32" t="s">
        <v>237</v>
      </c>
      <c r="L24" s="32" t="s">
        <v>238</v>
      </c>
    </row>
    <row r="25" spans="1:12" ht="20" customHeight="1" x14ac:dyDescent="0.35">
      <c r="A25" s="65" t="s">
        <v>493</v>
      </c>
      <c r="B25" s="66"/>
      <c r="C25" s="66"/>
      <c r="D25" s="66"/>
      <c r="E25" s="66"/>
      <c r="F25" s="66"/>
      <c r="G25" s="66"/>
      <c r="H25" s="66"/>
      <c r="I25" s="66"/>
      <c r="J25" s="66"/>
      <c r="K25" s="66"/>
      <c r="L25" s="66"/>
    </row>
    <row r="26" spans="1:12" ht="42" customHeight="1" x14ac:dyDescent="0.35">
      <c r="A26" s="18" t="s">
        <v>494</v>
      </c>
      <c r="B26" s="19" t="s">
        <v>495</v>
      </c>
      <c r="C26" s="19" t="s">
        <v>496</v>
      </c>
      <c r="D26" s="19" t="s">
        <v>497</v>
      </c>
      <c r="E26" s="19" t="s">
        <v>498</v>
      </c>
      <c r="F26" s="18" t="s">
        <v>166</v>
      </c>
      <c r="G26" s="25"/>
      <c r="H26" s="26" t="str">
        <f>IF(G26="","",IF(G26&lt;=RED_MAX,"RED",IF(G26&lt;=AMBER_MAX,"AMBER","GREEN")))</f>
        <v/>
      </c>
      <c r="I26" s="27" t="s">
        <v>235</v>
      </c>
      <c r="J26" s="27" t="s">
        <v>236</v>
      </c>
      <c r="K26" s="28" t="s">
        <v>237</v>
      </c>
      <c r="L26" s="28" t="s">
        <v>238</v>
      </c>
    </row>
    <row r="27" spans="1:12" ht="44" customHeight="1" x14ac:dyDescent="0.35">
      <c r="A27" s="21" t="s">
        <v>499</v>
      </c>
      <c r="B27" s="22" t="s">
        <v>495</v>
      </c>
      <c r="C27" s="22" t="s">
        <v>500</v>
      </c>
      <c r="D27" s="22" t="s">
        <v>501</v>
      </c>
      <c r="E27" s="22" t="s">
        <v>502</v>
      </c>
      <c r="F27" s="21" t="s">
        <v>166</v>
      </c>
      <c r="G27" s="29"/>
      <c r="H27" s="30" t="str">
        <f>IF(G27="","",IF(G27&lt;=RED_MAX,"RED",IF(G27&lt;=AMBER_MAX,"AMBER","GREEN")))</f>
        <v/>
      </c>
      <c r="I27" s="31" t="s">
        <v>235</v>
      </c>
      <c r="J27" s="31" t="s">
        <v>236</v>
      </c>
      <c r="K27" s="32" t="s">
        <v>237</v>
      </c>
      <c r="L27" s="32" t="s">
        <v>238</v>
      </c>
    </row>
    <row r="28" spans="1:12" ht="44" customHeight="1" x14ac:dyDescent="0.35">
      <c r="A28" s="18" t="s">
        <v>503</v>
      </c>
      <c r="B28" s="19" t="s">
        <v>495</v>
      </c>
      <c r="C28" s="19" t="s">
        <v>504</v>
      </c>
      <c r="D28" s="19" t="s">
        <v>505</v>
      </c>
      <c r="E28" s="19" t="s">
        <v>506</v>
      </c>
      <c r="F28" s="18" t="s">
        <v>166</v>
      </c>
      <c r="G28" s="25"/>
      <c r="H28" s="26" t="str">
        <f>IF(G28="","",IF(G28&lt;=RED_MAX,"RED",IF(G28&lt;=AMBER_MAX,"AMBER","GREEN")))</f>
        <v/>
      </c>
      <c r="I28" s="27" t="s">
        <v>235</v>
      </c>
      <c r="J28" s="27" t="s">
        <v>236</v>
      </c>
      <c r="K28" s="28" t="s">
        <v>237</v>
      </c>
      <c r="L28" s="28" t="s">
        <v>238</v>
      </c>
    </row>
    <row r="29" spans="1:12" ht="44" customHeight="1" x14ac:dyDescent="0.35">
      <c r="A29" s="21" t="s">
        <v>507</v>
      </c>
      <c r="B29" s="22" t="s">
        <v>495</v>
      </c>
      <c r="C29" s="22" t="s">
        <v>508</v>
      </c>
      <c r="D29" s="22" t="s">
        <v>509</v>
      </c>
      <c r="E29" s="22" t="s">
        <v>510</v>
      </c>
      <c r="F29" s="21" t="s">
        <v>166</v>
      </c>
      <c r="G29" s="29"/>
      <c r="H29" s="30" t="str">
        <f>IF(G29="","",IF(G29&lt;=RED_MAX,"RED",IF(G29&lt;=AMBER_MAX,"AMBER","GREEN")))</f>
        <v/>
      </c>
      <c r="I29" s="31" t="s">
        <v>235</v>
      </c>
      <c r="J29" s="31" t="s">
        <v>236</v>
      </c>
      <c r="K29" s="32" t="s">
        <v>237</v>
      </c>
      <c r="L29" s="32" t="s">
        <v>238</v>
      </c>
    </row>
    <row r="30" spans="1:12" ht="44" customHeight="1" x14ac:dyDescent="0.35">
      <c r="A30" s="18" t="s">
        <v>511</v>
      </c>
      <c r="B30" s="19" t="s">
        <v>495</v>
      </c>
      <c r="C30" s="19" t="s">
        <v>512</v>
      </c>
      <c r="D30" s="19" t="s">
        <v>513</v>
      </c>
      <c r="E30" s="19" t="s">
        <v>514</v>
      </c>
      <c r="F30" s="18" t="s">
        <v>166</v>
      </c>
      <c r="G30" s="25"/>
      <c r="H30" s="26" t="str">
        <f>IF(G30="","",IF(G30&lt;=RED_MAX,"RED",IF(G30&lt;=AMBER_MAX,"AMBER","GREEN")))</f>
        <v/>
      </c>
      <c r="I30" s="27" t="s">
        <v>235</v>
      </c>
      <c r="J30" s="27" t="s">
        <v>236</v>
      </c>
      <c r="K30" s="28" t="s">
        <v>237</v>
      </c>
      <c r="L30" s="28" t="s">
        <v>238</v>
      </c>
    </row>
    <row r="31" spans="1:12" ht="20" customHeight="1" x14ac:dyDescent="0.35">
      <c r="A31" s="65" t="s">
        <v>515</v>
      </c>
      <c r="B31" s="66"/>
      <c r="C31" s="66"/>
      <c r="D31" s="66"/>
      <c r="E31" s="66"/>
      <c r="F31" s="66"/>
      <c r="G31" s="66"/>
      <c r="H31" s="66"/>
      <c r="I31" s="66"/>
      <c r="J31" s="66"/>
      <c r="K31" s="66"/>
      <c r="L31" s="66"/>
    </row>
    <row r="32" spans="1:12" ht="44" customHeight="1" x14ac:dyDescent="0.35">
      <c r="A32" s="21" t="s">
        <v>516</v>
      </c>
      <c r="B32" s="22" t="s">
        <v>517</v>
      </c>
      <c r="C32" s="22" t="s">
        <v>518</v>
      </c>
      <c r="D32" s="22" t="s">
        <v>519</v>
      </c>
      <c r="E32" s="22" t="s">
        <v>520</v>
      </c>
      <c r="F32" s="21" t="s">
        <v>168</v>
      </c>
      <c r="G32" s="29"/>
      <c r="H32" s="30" t="str">
        <f>IF(G32="","",IF(G32&lt;=RED_MAX,"RED",IF(G32&lt;=AMBER_MAX,"AMBER","GREEN")))</f>
        <v/>
      </c>
      <c r="I32" s="31" t="s">
        <v>235</v>
      </c>
      <c r="J32" s="31" t="s">
        <v>236</v>
      </c>
      <c r="K32" s="32" t="s">
        <v>237</v>
      </c>
      <c r="L32" s="32" t="s">
        <v>238</v>
      </c>
    </row>
    <row r="33" spans="1:12" ht="42" customHeight="1" x14ac:dyDescent="0.35">
      <c r="A33" s="18" t="s">
        <v>521</v>
      </c>
      <c r="B33" s="19" t="s">
        <v>517</v>
      </c>
      <c r="C33" s="19" t="s">
        <v>522</v>
      </c>
      <c r="D33" s="19" t="s">
        <v>523</v>
      </c>
      <c r="E33" s="19" t="s">
        <v>524</v>
      </c>
      <c r="F33" s="18" t="s">
        <v>168</v>
      </c>
      <c r="G33" s="25"/>
      <c r="H33" s="26" t="str">
        <f>IF(G33="","",IF(G33&lt;=RED_MAX,"RED",IF(G33&lt;=AMBER_MAX,"AMBER","GREEN")))</f>
        <v/>
      </c>
      <c r="I33" s="27" t="s">
        <v>235</v>
      </c>
      <c r="J33" s="27" t="s">
        <v>236</v>
      </c>
      <c r="K33" s="28" t="s">
        <v>237</v>
      </c>
      <c r="L33" s="28" t="s">
        <v>238</v>
      </c>
    </row>
    <row r="34" spans="1:12" ht="44" customHeight="1" x14ac:dyDescent="0.35">
      <c r="A34" s="21" t="s">
        <v>525</v>
      </c>
      <c r="B34" s="22" t="s">
        <v>517</v>
      </c>
      <c r="C34" s="22" t="s">
        <v>526</v>
      </c>
      <c r="D34" s="22" t="s">
        <v>527</v>
      </c>
      <c r="E34" s="22" t="s">
        <v>528</v>
      </c>
      <c r="F34" s="21" t="s">
        <v>168</v>
      </c>
      <c r="G34" s="29"/>
      <c r="H34" s="30" t="str">
        <f>IF(G34="","",IF(G34&lt;=RED_MAX,"RED",IF(G34&lt;=AMBER_MAX,"AMBER","GREEN")))</f>
        <v/>
      </c>
      <c r="I34" s="31" t="s">
        <v>235</v>
      </c>
      <c r="J34" s="31" t="s">
        <v>236</v>
      </c>
      <c r="K34" s="32" t="s">
        <v>237</v>
      </c>
      <c r="L34" s="32" t="s">
        <v>238</v>
      </c>
    </row>
    <row r="35" spans="1:12" ht="20" customHeight="1" x14ac:dyDescent="0.35">
      <c r="A35" s="65" t="s">
        <v>529</v>
      </c>
      <c r="B35" s="66"/>
      <c r="C35" s="66"/>
      <c r="D35" s="66"/>
      <c r="E35" s="66"/>
      <c r="F35" s="66"/>
      <c r="G35" s="66"/>
      <c r="H35" s="66"/>
      <c r="I35" s="66"/>
      <c r="J35" s="66"/>
      <c r="K35" s="66"/>
      <c r="L35" s="66"/>
    </row>
    <row r="36" spans="1:12" ht="44" customHeight="1" x14ac:dyDescent="0.35">
      <c r="A36" s="18" t="s">
        <v>530</v>
      </c>
      <c r="B36" s="19" t="s">
        <v>531</v>
      </c>
      <c r="C36" s="19" t="s">
        <v>532</v>
      </c>
      <c r="D36" s="19" t="s">
        <v>533</v>
      </c>
      <c r="E36" s="19" t="s">
        <v>534</v>
      </c>
      <c r="F36" s="18" t="s">
        <v>170</v>
      </c>
      <c r="G36" s="25"/>
      <c r="H36" s="26" t="str">
        <f>IF(G36="","",IF(G36&lt;=RED_MAX,"RED",IF(G36&lt;=AMBER_MAX,"AMBER","GREEN")))</f>
        <v/>
      </c>
      <c r="I36" s="27" t="s">
        <v>235</v>
      </c>
      <c r="J36" s="27" t="s">
        <v>236</v>
      </c>
      <c r="K36" s="28" t="s">
        <v>237</v>
      </c>
      <c r="L36" s="28" t="s">
        <v>238</v>
      </c>
    </row>
    <row r="37" spans="1:12" ht="44" customHeight="1" x14ac:dyDescent="0.35">
      <c r="A37" s="21" t="s">
        <v>535</v>
      </c>
      <c r="B37" s="22" t="s">
        <v>531</v>
      </c>
      <c r="C37" s="22" t="s">
        <v>536</v>
      </c>
      <c r="D37" s="22" t="s">
        <v>537</v>
      </c>
      <c r="E37" s="22" t="s">
        <v>538</v>
      </c>
      <c r="F37" s="21" t="s">
        <v>170</v>
      </c>
      <c r="G37" s="29"/>
      <c r="H37" s="30" t="str">
        <f>IF(G37="","",IF(G37&lt;=RED_MAX,"RED",IF(G37&lt;=AMBER_MAX,"AMBER","GREEN")))</f>
        <v/>
      </c>
      <c r="I37" s="31" t="s">
        <v>235</v>
      </c>
      <c r="J37" s="31" t="s">
        <v>236</v>
      </c>
      <c r="K37" s="32" t="s">
        <v>237</v>
      </c>
      <c r="L37" s="32" t="s">
        <v>238</v>
      </c>
    </row>
    <row r="38" spans="1:12" ht="42" customHeight="1" x14ac:dyDescent="0.35">
      <c r="A38" s="18" t="s">
        <v>539</v>
      </c>
      <c r="B38" s="19" t="s">
        <v>531</v>
      </c>
      <c r="C38" s="19" t="s">
        <v>540</v>
      </c>
      <c r="D38" s="19" t="s">
        <v>541</v>
      </c>
      <c r="E38" s="19" t="s">
        <v>542</v>
      </c>
      <c r="F38" s="18" t="s">
        <v>170</v>
      </c>
      <c r="G38" s="25"/>
      <c r="H38" s="26" t="str">
        <f>IF(G38="","",IF(G38&lt;=RED_MAX,"RED",IF(G38&lt;=AMBER_MAX,"AMBER","GREEN")))</f>
        <v/>
      </c>
      <c r="I38" s="27" t="s">
        <v>235</v>
      </c>
      <c r="J38" s="27" t="s">
        <v>236</v>
      </c>
      <c r="K38" s="28" t="s">
        <v>237</v>
      </c>
      <c r="L38" s="28" t="s">
        <v>238</v>
      </c>
    </row>
    <row r="39" spans="1:12" ht="20" customHeight="1" x14ac:dyDescent="0.35">
      <c r="A39" s="65" t="s">
        <v>543</v>
      </c>
      <c r="B39" s="66"/>
      <c r="C39" s="66"/>
      <c r="D39" s="66"/>
      <c r="E39" s="66"/>
      <c r="F39" s="66"/>
      <c r="G39" s="66"/>
      <c r="H39" s="66"/>
      <c r="I39" s="66"/>
      <c r="J39" s="66"/>
      <c r="K39" s="66"/>
      <c r="L39" s="66"/>
    </row>
    <row r="40" spans="1:12" ht="44" customHeight="1" x14ac:dyDescent="0.35">
      <c r="A40" s="21" t="s">
        <v>544</v>
      </c>
      <c r="B40" s="22" t="s">
        <v>545</v>
      </c>
      <c r="C40" s="22" t="s">
        <v>546</v>
      </c>
      <c r="D40" s="22" t="s">
        <v>547</v>
      </c>
      <c r="E40" s="22" t="s">
        <v>548</v>
      </c>
      <c r="F40" s="21" t="s">
        <v>172</v>
      </c>
      <c r="G40" s="29"/>
      <c r="H40" s="30" t="str">
        <f>IF(G40="","",IF(G40&lt;=RED_MAX,"RED",IF(G40&lt;=AMBER_MAX,"AMBER","GREEN")))</f>
        <v/>
      </c>
      <c r="I40" s="31" t="s">
        <v>235</v>
      </c>
      <c r="J40" s="31" t="s">
        <v>236</v>
      </c>
      <c r="K40" s="32" t="s">
        <v>237</v>
      </c>
      <c r="L40" s="32" t="s">
        <v>238</v>
      </c>
    </row>
    <row r="41" spans="1:12" ht="42" customHeight="1" x14ac:dyDescent="0.35">
      <c r="A41" s="18" t="s">
        <v>549</v>
      </c>
      <c r="B41" s="19" t="s">
        <v>545</v>
      </c>
      <c r="C41" s="19" t="s">
        <v>550</v>
      </c>
      <c r="D41" s="19" t="s">
        <v>551</v>
      </c>
      <c r="E41" s="19" t="s">
        <v>552</v>
      </c>
      <c r="F41" s="18" t="s">
        <v>172</v>
      </c>
      <c r="G41" s="25"/>
      <c r="H41" s="26" t="str">
        <f>IF(G41="","",IF(G41&lt;=RED_MAX,"RED",IF(G41&lt;=AMBER_MAX,"AMBER","GREEN")))</f>
        <v/>
      </c>
      <c r="I41" s="27" t="s">
        <v>235</v>
      </c>
      <c r="J41" s="27" t="s">
        <v>236</v>
      </c>
      <c r="K41" s="28" t="s">
        <v>237</v>
      </c>
      <c r="L41" s="28" t="s">
        <v>238</v>
      </c>
    </row>
    <row r="42" spans="1:12" ht="44" customHeight="1" x14ac:dyDescent="0.35">
      <c r="A42" s="21" t="s">
        <v>553</v>
      </c>
      <c r="B42" s="22" t="s">
        <v>545</v>
      </c>
      <c r="C42" s="22" t="s">
        <v>554</v>
      </c>
      <c r="D42" s="22" t="s">
        <v>555</v>
      </c>
      <c r="E42" s="22" t="s">
        <v>556</v>
      </c>
      <c r="F42" s="21" t="s">
        <v>172</v>
      </c>
      <c r="G42" s="29"/>
      <c r="H42" s="30" t="str">
        <f>IF(G42="","",IF(G42&lt;=RED_MAX,"RED",IF(G42&lt;=AMBER_MAX,"AMBER","GREEN")))</f>
        <v/>
      </c>
      <c r="I42" s="31" t="s">
        <v>235</v>
      </c>
      <c r="J42" s="31" t="s">
        <v>236</v>
      </c>
      <c r="K42" s="32" t="s">
        <v>237</v>
      </c>
      <c r="L42" s="32" t="s">
        <v>238</v>
      </c>
    </row>
    <row r="43" spans="1:12" ht="42" customHeight="1" x14ac:dyDescent="0.35">
      <c r="A43" s="18" t="s">
        <v>557</v>
      </c>
      <c r="B43" s="19" t="s">
        <v>545</v>
      </c>
      <c r="C43" s="19" t="s">
        <v>558</v>
      </c>
      <c r="D43" s="19" t="s">
        <v>559</v>
      </c>
      <c r="E43" s="19" t="s">
        <v>560</v>
      </c>
      <c r="F43" s="18" t="s">
        <v>172</v>
      </c>
      <c r="G43" s="25"/>
      <c r="H43" s="26" t="str">
        <f>IF(G43="","",IF(G43&lt;=RED_MAX,"RED",IF(G43&lt;=AMBER_MAX,"AMBER","GREEN")))</f>
        <v/>
      </c>
      <c r="I43" s="27" t="s">
        <v>235</v>
      </c>
      <c r="J43" s="27" t="s">
        <v>236</v>
      </c>
      <c r="K43" s="28" t="s">
        <v>237</v>
      </c>
      <c r="L43" s="28" t="s">
        <v>238</v>
      </c>
    </row>
  </sheetData>
  <mergeCells count="10">
    <mergeCell ref="A31:L31"/>
    <mergeCell ref="A22:L22"/>
    <mergeCell ref="A17:L17"/>
    <mergeCell ref="A39:L39"/>
    <mergeCell ref="A35:L35"/>
    <mergeCell ref="A2:L2"/>
    <mergeCell ref="A25:L25"/>
    <mergeCell ref="A11:L11"/>
    <mergeCell ref="A1:L1"/>
    <mergeCell ref="A5:L5"/>
  </mergeCells>
  <conditionalFormatting sqref="G5:G43">
    <cfRule type="expression" dxfId="78" priority="1">
      <formula>$H5="RED"</formula>
    </cfRule>
    <cfRule type="expression" dxfId="77" priority="3">
      <formula>$H5="AMBER"</formula>
    </cfRule>
    <cfRule type="expression" dxfId="76" priority="5">
      <formula>$H5="GREEN"</formula>
    </cfRule>
  </conditionalFormatting>
  <conditionalFormatting sqref="H5:H43">
    <cfRule type="expression" dxfId="75" priority="2">
      <formula>$H5="RED"</formula>
    </cfRule>
    <cfRule type="expression" dxfId="74" priority="4">
      <formula>$H5="AMBER"</formula>
    </cfRule>
    <cfRule type="expression" dxfId="73" priority="6">
      <formula>$H5="GREEN"</formula>
    </cfRule>
  </conditionalFormatting>
  <dataValidations count="1">
    <dataValidation type="whole" allowBlank="1" showErrorMessage="1" errorTitle="Invalid Score" error="Please enter a whole score between 1 and 5" sqref="G5:G43" xr:uid="{00000000-0002-0000-0300-000000000000}">
      <formula1>1</formula1>
      <formula2>5</formula2>
    </dataValidation>
  </dataValidations>
  <pageMargins left="0.75" right="0.75" top="1" bottom="1" header="0.5" footer="0.5"/>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548235"/>
    <pageSetUpPr fitToPage="1"/>
  </sheetPr>
  <dimension ref="A1:M28"/>
  <sheetViews>
    <sheetView showGridLines="0" workbookViewId="0">
      <pane xSplit="3" ySplit="4" topLeftCell="D5" activePane="bottomRight" state="frozen"/>
      <selection pane="topRight"/>
      <selection pane="bottomLeft"/>
      <selection pane="bottomRight"/>
    </sheetView>
  </sheetViews>
  <sheetFormatPr defaultRowHeight="14.5" x14ac:dyDescent="0.35"/>
  <cols>
    <col min="1" max="1" width="9" customWidth="1"/>
    <col min="2" max="2" width="11" customWidth="1"/>
    <col min="3" max="3" width="34" customWidth="1"/>
    <col min="4" max="4" width="42" customWidth="1"/>
    <col min="5" max="5" width="30" customWidth="1"/>
    <col min="6" max="6" width="22" customWidth="1"/>
    <col min="7" max="7" width="16" customWidth="1"/>
    <col min="8" max="8" width="13" customWidth="1"/>
    <col min="9" max="9" width="40" customWidth="1"/>
    <col min="10" max="10" width="12" customWidth="1"/>
    <col min="11" max="11" width="28" customWidth="1"/>
    <col min="12" max="12" width="18" customWidth="1"/>
    <col min="13" max="13" width="16" customWidth="1"/>
  </cols>
  <sheetData>
    <row r="1" spans="1:13" ht="32" customHeight="1" x14ac:dyDescent="0.35">
      <c r="A1" s="63" t="s">
        <v>561</v>
      </c>
      <c r="B1" s="54"/>
      <c r="C1" s="54"/>
      <c r="D1" s="54"/>
      <c r="E1" s="54"/>
      <c r="F1" s="54"/>
      <c r="G1" s="54"/>
      <c r="H1" s="54"/>
      <c r="I1" s="54"/>
      <c r="J1" s="54"/>
      <c r="K1" s="54"/>
      <c r="L1" s="54"/>
      <c r="M1" s="54"/>
    </row>
    <row r="2" spans="1:13" ht="22" customHeight="1" x14ac:dyDescent="0.35">
      <c r="A2" s="64" t="s">
        <v>562</v>
      </c>
      <c r="B2" s="54"/>
      <c r="C2" s="54"/>
      <c r="D2" s="54"/>
      <c r="E2" s="54"/>
      <c r="F2" s="54"/>
      <c r="G2" s="54"/>
      <c r="H2" s="54"/>
      <c r="I2" s="54"/>
      <c r="J2" s="54"/>
      <c r="K2" s="54"/>
      <c r="L2" s="54"/>
      <c r="M2" s="54"/>
    </row>
    <row r="4" spans="1:13" ht="44" customHeight="1" x14ac:dyDescent="0.35">
      <c r="A4" s="3" t="s">
        <v>563</v>
      </c>
      <c r="B4" s="3" t="s">
        <v>564</v>
      </c>
      <c r="C4" s="3" t="s">
        <v>565</v>
      </c>
      <c r="D4" s="3" t="s">
        <v>566</v>
      </c>
      <c r="E4" s="3" t="s">
        <v>567</v>
      </c>
      <c r="F4" s="3" t="s">
        <v>568</v>
      </c>
      <c r="G4" s="3" t="s">
        <v>569</v>
      </c>
      <c r="H4" s="3" t="s">
        <v>570</v>
      </c>
      <c r="I4" s="3" t="s">
        <v>571</v>
      </c>
      <c r="J4" s="3" t="s">
        <v>572</v>
      </c>
      <c r="K4" s="3" t="s">
        <v>573</v>
      </c>
      <c r="L4" s="3" t="s">
        <v>574</v>
      </c>
      <c r="M4" s="3" t="s">
        <v>575</v>
      </c>
    </row>
    <row r="5" spans="1:13" ht="42" customHeight="1" x14ac:dyDescent="0.35">
      <c r="A5" s="18" t="s">
        <v>576</v>
      </c>
      <c r="B5" s="18" t="s">
        <v>577</v>
      </c>
      <c r="C5" s="19" t="s">
        <v>578</v>
      </c>
      <c r="D5" s="19" t="s">
        <v>579</v>
      </c>
      <c r="E5" s="27" t="s">
        <v>580</v>
      </c>
      <c r="F5" s="27" t="s">
        <v>580</v>
      </c>
      <c r="G5" s="27" t="s">
        <v>580</v>
      </c>
      <c r="H5" s="18" t="s">
        <v>581</v>
      </c>
      <c r="I5" s="19" t="s">
        <v>582</v>
      </c>
      <c r="J5" s="26" t="s">
        <v>581</v>
      </c>
      <c r="K5" s="27"/>
      <c r="L5" s="19" t="s">
        <v>583</v>
      </c>
      <c r="M5" s="27"/>
    </row>
    <row r="6" spans="1:13" ht="42" customHeight="1" x14ac:dyDescent="0.35">
      <c r="A6" s="21" t="s">
        <v>584</v>
      </c>
      <c r="B6" s="21" t="s">
        <v>577</v>
      </c>
      <c r="C6" s="22" t="s">
        <v>585</v>
      </c>
      <c r="D6" s="22" t="s">
        <v>586</v>
      </c>
      <c r="E6" s="31" t="s">
        <v>580</v>
      </c>
      <c r="F6" s="31" t="s">
        <v>580</v>
      </c>
      <c r="G6" s="31" t="s">
        <v>580</v>
      </c>
      <c r="H6" s="21" t="s">
        <v>581</v>
      </c>
      <c r="I6" s="22" t="s">
        <v>587</v>
      </c>
      <c r="J6" s="30" t="s">
        <v>581</v>
      </c>
      <c r="K6" s="31"/>
      <c r="L6" s="22" t="s">
        <v>588</v>
      </c>
      <c r="M6" s="31"/>
    </row>
    <row r="7" spans="1:13" ht="42" customHeight="1" x14ac:dyDescent="0.35">
      <c r="A7" s="18" t="s">
        <v>589</v>
      </c>
      <c r="B7" s="18" t="s">
        <v>590</v>
      </c>
      <c r="C7" s="19" t="s">
        <v>591</v>
      </c>
      <c r="D7" s="19" t="s">
        <v>592</v>
      </c>
      <c r="E7" s="27" t="s">
        <v>580</v>
      </c>
      <c r="F7" s="27" t="s">
        <v>580</v>
      </c>
      <c r="G7" s="27" t="s">
        <v>580</v>
      </c>
      <c r="H7" s="18" t="s">
        <v>581</v>
      </c>
      <c r="I7" s="19" t="s">
        <v>593</v>
      </c>
      <c r="J7" s="26" t="s">
        <v>581</v>
      </c>
      <c r="K7" s="27"/>
      <c r="L7" s="19" t="s">
        <v>594</v>
      </c>
      <c r="M7" s="27"/>
    </row>
    <row r="8" spans="1:13" ht="42" customHeight="1" x14ac:dyDescent="0.35">
      <c r="A8" s="21" t="s">
        <v>595</v>
      </c>
      <c r="B8" s="21" t="s">
        <v>590</v>
      </c>
      <c r="C8" s="22" t="s">
        <v>596</v>
      </c>
      <c r="D8" s="22" t="s">
        <v>597</v>
      </c>
      <c r="E8" s="31" t="s">
        <v>580</v>
      </c>
      <c r="F8" s="31" t="s">
        <v>580</v>
      </c>
      <c r="G8" s="31" t="s">
        <v>580</v>
      </c>
      <c r="H8" s="21" t="s">
        <v>581</v>
      </c>
      <c r="I8" s="22" t="s">
        <v>598</v>
      </c>
      <c r="J8" s="30" t="s">
        <v>581</v>
      </c>
      <c r="K8" s="31"/>
      <c r="L8" s="22" t="s">
        <v>599</v>
      </c>
      <c r="M8" s="31"/>
    </row>
    <row r="9" spans="1:13" ht="42" customHeight="1" x14ac:dyDescent="0.35">
      <c r="A9" s="18" t="s">
        <v>600</v>
      </c>
      <c r="B9" s="18" t="s">
        <v>590</v>
      </c>
      <c r="C9" s="19" t="s">
        <v>601</v>
      </c>
      <c r="D9" s="19" t="s">
        <v>602</v>
      </c>
      <c r="E9" s="27" t="s">
        <v>580</v>
      </c>
      <c r="F9" s="27" t="s">
        <v>580</v>
      </c>
      <c r="G9" s="27" t="s">
        <v>580</v>
      </c>
      <c r="H9" s="18" t="s">
        <v>581</v>
      </c>
      <c r="I9" s="19" t="s">
        <v>603</v>
      </c>
      <c r="J9" s="26" t="s">
        <v>581</v>
      </c>
      <c r="K9" s="27"/>
      <c r="L9" s="19" t="s">
        <v>453</v>
      </c>
      <c r="M9" s="27"/>
    </row>
    <row r="10" spans="1:13" ht="42" customHeight="1" x14ac:dyDescent="0.35">
      <c r="A10" s="21" t="s">
        <v>604</v>
      </c>
      <c r="B10" s="21" t="s">
        <v>605</v>
      </c>
      <c r="C10" s="22" t="s">
        <v>606</v>
      </c>
      <c r="D10" s="22" t="s">
        <v>607</v>
      </c>
      <c r="E10" s="31" t="s">
        <v>580</v>
      </c>
      <c r="F10" s="31" t="s">
        <v>580</v>
      </c>
      <c r="G10" s="31" t="s">
        <v>580</v>
      </c>
      <c r="H10" s="21" t="s">
        <v>581</v>
      </c>
      <c r="I10" s="22" t="s">
        <v>608</v>
      </c>
      <c r="J10" s="30" t="s">
        <v>581</v>
      </c>
      <c r="K10" s="31"/>
      <c r="L10" s="22" t="s">
        <v>609</v>
      </c>
      <c r="M10" s="31"/>
    </row>
    <row r="11" spans="1:13" ht="42" customHeight="1" x14ac:dyDescent="0.35">
      <c r="A11" s="18" t="s">
        <v>610</v>
      </c>
      <c r="B11" s="18" t="s">
        <v>611</v>
      </c>
      <c r="C11" s="19" t="s">
        <v>612</v>
      </c>
      <c r="D11" s="19" t="s">
        <v>613</v>
      </c>
      <c r="E11" s="27" t="s">
        <v>580</v>
      </c>
      <c r="F11" s="27" t="s">
        <v>580</v>
      </c>
      <c r="G11" s="27" t="s">
        <v>580</v>
      </c>
      <c r="H11" s="18" t="s">
        <v>581</v>
      </c>
      <c r="I11" s="19" t="s">
        <v>614</v>
      </c>
      <c r="J11" s="26" t="s">
        <v>581</v>
      </c>
      <c r="K11" s="27"/>
      <c r="L11" s="19" t="s">
        <v>615</v>
      </c>
      <c r="M11" s="27"/>
    </row>
    <row r="12" spans="1:13" ht="42" customHeight="1" x14ac:dyDescent="0.35">
      <c r="A12" s="21" t="s">
        <v>616</v>
      </c>
      <c r="B12" s="21" t="s">
        <v>611</v>
      </c>
      <c r="C12" s="22" t="s">
        <v>617</v>
      </c>
      <c r="D12" s="22" t="s">
        <v>618</v>
      </c>
      <c r="E12" s="31" t="s">
        <v>580</v>
      </c>
      <c r="F12" s="31" t="s">
        <v>580</v>
      </c>
      <c r="G12" s="31" t="s">
        <v>580</v>
      </c>
      <c r="H12" s="21" t="s">
        <v>581</v>
      </c>
      <c r="I12" s="22" t="s">
        <v>619</v>
      </c>
      <c r="J12" s="30" t="s">
        <v>581</v>
      </c>
      <c r="K12" s="31"/>
      <c r="L12" s="22" t="s">
        <v>471</v>
      </c>
      <c r="M12" s="31"/>
    </row>
    <row r="13" spans="1:13" ht="42" customHeight="1" x14ac:dyDescent="0.35">
      <c r="A13" s="18" t="s">
        <v>620</v>
      </c>
      <c r="B13" s="18" t="s">
        <v>611</v>
      </c>
      <c r="C13" s="19" t="s">
        <v>621</v>
      </c>
      <c r="D13" s="19" t="s">
        <v>622</v>
      </c>
      <c r="E13" s="27" t="s">
        <v>580</v>
      </c>
      <c r="F13" s="27" t="s">
        <v>580</v>
      </c>
      <c r="G13" s="27" t="s">
        <v>580</v>
      </c>
      <c r="H13" s="18" t="s">
        <v>581</v>
      </c>
      <c r="I13" s="19" t="s">
        <v>623</v>
      </c>
      <c r="J13" s="26" t="s">
        <v>581</v>
      </c>
      <c r="K13" s="27"/>
      <c r="L13" s="19" t="s">
        <v>479</v>
      </c>
      <c r="M13" s="27"/>
    </row>
    <row r="14" spans="1:13" ht="42" customHeight="1" x14ac:dyDescent="0.35">
      <c r="A14" s="21" t="s">
        <v>624</v>
      </c>
      <c r="B14" s="21" t="s">
        <v>625</v>
      </c>
      <c r="C14" s="22" t="s">
        <v>626</v>
      </c>
      <c r="D14" s="22" t="s">
        <v>627</v>
      </c>
      <c r="E14" s="31" t="s">
        <v>580</v>
      </c>
      <c r="F14" s="31" t="s">
        <v>580</v>
      </c>
      <c r="G14" s="31" t="s">
        <v>580</v>
      </c>
      <c r="H14" s="21" t="s">
        <v>581</v>
      </c>
      <c r="I14" s="22" t="s">
        <v>628</v>
      </c>
      <c r="J14" s="30" t="s">
        <v>581</v>
      </c>
      <c r="K14" s="31"/>
      <c r="L14" s="22" t="s">
        <v>629</v>
      </c>
      <c r="M14" s="31"/>
    </row>
    <row r="15" spans="1:13" ht="42" customHeight="1" x14ac:dyDescent="0.35">
      <c r="A15" s="18" t="s">
        <v>630</v>
      </c>
      <c r="B15" s="18" t="s">
        <v>625</v>
      </c>
      <c r="C15" s="19" t="s">
        <v>631</v>
      </c>
      <c r="D15" s="19" t="s">
        <v>632</v>
      </c>
      <c r="E15" s="27" t="s">
        <v>580</v>
      </c>
      <c r="F15" s="27" t="s">
        <v>580</v>
      </c>
      <c r="G15" s="27" t="s">
        <v>580</v>
      </c>
      <c r="H15" s="18" t="s">
        <v>581</v>
      </c>
      <c r="I15" s="19" t="s">
        <v>633</v>
      </c>
      <c r="J15" s="26" t="s">
        <v>581</v>
      </c>
      <c r="K15" s="27"/>
      <c r="L15" s="19" t="s">
        <v>484</v>
      </c>
      <c r="M15" s="27"/>
    </row>
    <row r="16" spans="1:13" ht="42" customHeight="1" x14ac:dyDescent="0.35">
      <c r="A16" s="21" t="s">
        <v>634</v>
      </c>
      <c r="B16" s="21" t="s">
        <v>635</v>
      </c>
      <c r="C16" s="22" t="s">
        <v>636</v>
      </c>
      <c r="D16" s="22" t="s">
        <v>637</v>
      </c>
      <c r="E16" s="31" t="s">
        <v>580</v>
      </c>
      <c r="F16" s="31" t="s">
        <v>580</v>
      </c>
      <c r="G16" s="31" t="s">
        <v>580</v>
      </c>
      <c r="H16" s="21" t="s">
        <v>581</v>
      </c>
      <c r="I16" s="22" t="s">
        <v>638</v>
      </c>
      <c r="J16" s="30" t="s">
        <v>581</v>
      </c>
      <c r="K16" s="31"/>
      <c r="L16" s="22" t="s">
        <v>489</v>
      </c>
      <c r="M16" s="31"/>
    </row>
    <row r="17" spans="1:13" ht="42" customHeight="1" x14ac:dyDescent="0.35">
      <c r="A17" s="18" t="s">
        <v>639</v>
      </c>
      <c r="B17" s="18" t="s">
        <v>635</v>
      </c>
      <c r="C17" s="19" t="s">
        <v>640</v>
      </c>
      <c r="D17" s="19" t="s">
        <v>641</v>
      </c>
      <c r="E17" s="27" t="s">
        <v>580</v>
      </c>
      <c r="F17" s="27" t="s">
        <v>580</v>
      </c>
      <c r="G17" s="27" t="s">
        <v>580</v>
      </c>
      <c r="H17" s="18" t="s">
        <v>581</v>
      </c>
      <c r="I17" s="19" t="s">
        <v>642</v>
      </c>
      <c r="J17" s="26" t="s">
        <v>581</v>
      </c>
      <c r="K17" s="27"/>
      <c r="L17" s="19" t="s">
        <v>489</v>
      </c>
      <c r="M17" s="27"/>
    </row>
    <row r="18" spans="1:13" ht="42" customHeight="1" x14ac:dyDescent="0.35">
      <c r="A18" s="21" t="s">
        <v>643</v>
      </c>
      <c r="B18" s="21" t="s">
        <v>644</v>
      </c>
      <c r="C18" s="22" t="s">
        <v>645</v>
      </c>
      <c r="D18" s="22" t="s">
        <v>646</v>
      </c>
      <c r="E18" s="31" t="s">
        <v>580</v>
      </c>
      <c r="F18" s="31" t="s">
        <v>580</v>
      </c>
      <c r="G18" s="31" t="s">
        <v>580</v>
      </c>
      <c r="H18" s="21" t="s">
        <v>581</v>
      </c>
      <c r="I18" s="22" t="s">
        <v>647</v>
      </c>
      <c r="J18" s="30" t="s">
        <v>581</v>
      </c>
      <c r="K18" s="31"/>
      <c r="L18" s="22" t="s">
        <v>648</v>
      </c>
      <c r="M18" s="31"/>
    </row>
    <row r="19" spans="1:13" ht="42" customHeight="1" x14ac:dyDescent="0.35">
      <c r="A19" s="18" t="s">
        <v>649</v>
      </c>
      <c r="B19" s="18" t="s">
        <v>644</v>
      </c>
      <c r="C19" s="19" t="s">
        <v>650</v>
      </c>
      <c r="D19" s="19" t="s">
        <v>651</v>
      </c>
      <c r="E19" s="27" t="s">
        <v>580</v>
      </c>
      <c r="F19" s="27" t="s">
        <v>580</v>
      </c>
      <c r="G19" s="27" t="s">
        <v>580</v>
      </c>
      <c r="H19" s="18" t="s">
        <v>581</v>
      </c>
      <c r="I19" s="19" t="s">
        <v>652</v>
      </c>
      <c r="J19" s="26" t="s">
        <v>581</v>
      </c>
      <c r="K19" s="27"/>
      <c r="L19" s="19" t="s">
        <v>653</v>
      </c>
      <c r="M19" s="27"/>
    </row>
    <row r="20" spans="1:13" ht="42" customHeight="1" x14ac:dyDescent="0.35">
      <c r="A20" s="21" t="s">
        <v>654</v>
      </c>
      <c r="B20" s="21" t="s">
        <v>655</v>
      </c>
      <c r="C20" s="22" t="s">
        <v>656</v>
      </c>
      <c r="D20" s="22" t="s">
        <v>657</v>
      </c>
      <c r="E20" s="31" t="s">
        <v>580</v>
      </c>
      <c r="F20" s="31" t="s">
        <v>580</v>
      </c>
      <c r="G20" s="31" t="s">
        <v>580</v>
      </c>
      <c r="H20" s="21" t="s">
        <v>581</v>
      </c>
      <c r="I20" s="22" t="s">
        <v>658</v>
      </c>
      <c r="J20" s="30" t="s">
        <v>581</v>
      </c>
      <c r="K20" s="31"/>
      <c r="L20" s="22" t="s">
        <v>659</v>
      </c>
      <c r="M20" s="31"/>
    </row>
    <row r="21" spans="1:13" ht="30" customHeight="1" x14ac:dyDescent="0.35">
      <c r="A21" s="18" t="s">
        <v>660</v>
      </c>
      <c r="B21" s="18"/>
      <c r="C21" s="19"/>
      <c r="D21" s="19"/>
      <c r="E21" s="19"/>
      <c r="F21" s="19"/>
      <c r="G21" s="19"/>
      <c r="H21" s="18"/>
      <c r="I21" s="19"/>
      <c r="J21" s="18"/>
      <c r="K21" s="19"/>
      <c r="L21" s="19"/>
      <c r="M21" s="19"/>
    </row>
    <row r="22" spans="1:13" ht="30" customHeight="1" x14ac:dyDescent="0.35">
      <c r="A22" s="18" t="s">
        <v>661</v>
      </c>
      <c r="B22" s="18"/>
      <c r="C22" s="19"/>
      <c r="D22" s="19"/>
      <c r="E22" s="19"/>
      <c r="F22" s="19"/>
      <c r="G22" s="19"/>
      <c r="H22" s="18"/>
      <c r="I22" s="19"/>
      <c r="J22" s="18"/>
      <c r="K22" s="19"/>
      <c r="L22" s="19"/>
      <c r="M22" s="19"/>
    </row>
    <row r="23" spans="1:13" ht="30" customHeight="1" x14ac:dyDescent="0.35">
      <c r="A23" s="18" t="s">
        <v>662</v>
      </c>
      <c r="B23" s="18"/>
      <c r="C23" s="19"/>
      <c r="D23" s="19"/>
      <c r="E23" s="19"/>
      <c r="F23" s="19"/>
      <c r="G23" s="19"/>
      <c r="H23" s="18"/>
      <c r="I23" s="19"/>
      <c r="J23" s="18"/>
      <c r="K23" s="19"/>
      <c r="L23" s="19"/>
      <c r="M23" s="19"/>
    </row>
    <row r="24" spans="1:13" ht="30" customHeight="1" x14ac:dyDescent="0.35">
      <c r="A24" s="18" t="s">
        <v>663</v>
      </c>
      <c r="B24" s="18"/>
      <c r="C24" s="19"/>
      <c r="D24" s="19"/>
      <c r="E24" s="19"/>
      <c r="F24" s="19"/>
      <c r="G24" s="19"/>
      <c r="H24" s="18"/>
      <c r="I24" s="19"/>
      <c r="J24" s="18"/>
      <c r="K24" s="19"/>
      <c r="L24" s="19"/>
      <c r="M24" s="19"/>
    </row>
    <row r="25" spans="1:13" ht="30" customHeight="1" x14ac:dyDescent="0.35">
      <c r="A25" s="18" t="s">
        <v>664</v>
      </c>
      <c r="B25" s="18"/>
      <c r="C25" s="19"/>
      <c r="D25" s="19"/>
      <c r="E25" s="19"/>
      <c r="F25" s="19"/>
      <c r="G25" s="19"/>
      <c r="H25" s="18"/>
      <c r="I25" s="19"/>
      <c r="J25" s="18"/>
      <c r="K25" s="19"/>
      <c r="L25" s="19"/>
      <c r="M25" s="19"/>
    </row>
    <row r="26" spans="1:13" ht="30" customHeight="1" x14ac:dyDescent="0.35">
      <c r="A26" s="18" t="s">
        <v>665</v>
      </c>
      <c r="B26" s="18"/>
      <c r="C26" s="19"/>
      <c r="D26" s="19"/>
      <c r="E26" s="19"/>
      <c r="F26" s="19"/>
      <c r="G26" s="19"/>
      <c r="H26" s="18"/>
      <c r="I26" s="19"/>
      <c r="J26" s="18"/>
      <c r="K26" s="19"/>
      <c r="L26" s="19"/>
      <c r="M26" s="19"/>
    </row>
    <row r="27" spans="1:13" ht="30" customHeight="1" x14ac:dyDescent="0.35">
      <c r="A27" s="18" t="s">
        <v>666</v>
      </c>
      <c r="B27" s="18"/>
      <c r="C27" s="19"/>
      <c r="D27" s="19"/>
      <c r="E27" s="19"/>
      <c r="F27" s="19"/>
      <c r="G27" s="19"/>
      <c r="H27" s="18"/>
      <c r="I27" s="19"/>
      <c r="J27" s="18"/>
      <c r="K27" s="19"/>
      <c r="L27" s="19"/>
      <c r="M27" s="19"/>
    </row>
    <row r="28" spans="1:13" ht="30" customHeight="1" x14ac:dyDescent="0.35">
      <c r="A28" s="18" t="s">
        <v>667</v>
      </c>
      <c r="B28" s="18"/>
      <c r="C28" s="19"/>
      <c r="D28" s="19"/>
      <c r="E28" s="19"/>
      <c r="F28" s="19"/>
      <c r="G28" s="19"/>
      <c r="H28" s="18"/>
      <c r="I28" s="19"/>
      <c r="J28" s="18"/>
      <c r="K28" s="19"/>
      <c r="L28" s="19"/>
      <c r="M28" s="19"/>
    </row>
  </sheetData>
  <autoFilter ref="A4:M28" xr:uid="{00000000-0009-0000-0000-000004000000}"/>
  <mergeCells count="2">
    <mergeCell ref="A2:M2"/>
    <mergeCell ref="A1:M1"/>
  </mergeCells>
  <conditionalFormatting sqref="H5:H28">
    <cfRule type="expression" dxfId="72" priority="4">
      <formula>ISNUMBER(SEARCH("Yes",H5))</formula>
    </cfRule>
    <cfRule type="expression" dxfId="71" priority="5">
      <formula>ISNUMBER(SEARCH("No",H5))</formula>
    </cfRule>
  </conditionalFormatting>
  <conditionalFormatting sqref="J5:J28">
    <cfRule type="expression" dxfId="70" priority="1">
      <formula>ISNUMBER(SEARCH("Pass",J5))</formula>
    </cfRule>
    <cfRule type="expression" dxfId="69" priority="2">
      <formula>ISNUMBER(SEARCH("Fail",J5))</formula>
    </cfRule>
    <cfRule type="expression" dxfId="68" priority="3">
      <formula>ISNUMBER(SEARCH("Not Tested",J5))</formula>
    </cfRule>
  </conditionalFormatting>
  <dataValidations count="3">
    <dataValidation type="list" allowBlank="1" showErrorMessage="1" errorTitle="Invalid Entry" error="Select a value from the list." sqref="H5:H28" xr:uid="{00000000-0002-0000-0400-000000000000}">
      <formula1>"Yes,No,Not Tested,N/A"</formula1>
    </dataValidation>
    <dataValidation type="list" allowBlank="1" showErrorMessage="1" errorTitle="Invalid Entry" error="Select a value from the list." sqref="J5:J28" xr:uid="{00000000-0002-0000-0400-000001000000}">
      <formula1>"Pass,Fail,Not Tested,N/A"</formula1>
    </dataValidation>
    <dataValidation type="list" allowBlank="1" showErrorMessage="1" errorTitle="Invalid Entry" error="Select a value from the list." sqref="B5:B28" xr:uid="{00000000-0002-0000-0400-000002000000}">
      <formula1>"Inbound,Outbound,East-West,Hybrid,DNS,AWS Service,Return Path,Failover,Other"</formula1>
    </dataValidation>
  </dataValidations>
  <pageMargins left="0.75" right="0.75" top="1" bottom="1" header="0.5" footer="0.5"/>
  <pageSetup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55A11"/>
    <pageSetUpPr fitToPage="1"/>
  </sheetPr>
  <dimension ref="A1:L38"/>
  <sheetViews>
    <sheetView showGridLines="0" workbookViewId="0">
      <pane xSplit="3" ySplit="4" topLeftCell="D5" activePane="bottomRight" state="frozen"/>
      <selection pane="topRight"/>
      <selection pane="bottomLeft"/>
      <selection pane="bottomRight"/>
    </sheetView>
  </sheetViews>
  <sheetFormatPr defaultRowHeight="14.5" x14ac:dyDescent="0.35"/>
  <cols>
    <col min="1" max="1" width="10.7265625" customWidth="1"/>
    <col min="2" max="2" width="22" customWidth="1"/>
    <col min="3" max="3" width="28" customWidth="1"/>
    <col min="4" max="4" width="48" customWidth="1"/>
    <col min="5" max="5" width="36" customWidth="1"/>
    <col min="6" max="6" width="8" customWidth="1"/>
    <col min="7" max="7" width="8.453125" customWidth="1"/>
    <col min="8" max="8" width="10.7265625" customWidth="1"/>
    <col min="9" max="10" width="34" customWidth="1"/>
    <col min="11" max="11" width="14" customWidth="1"/>
    <col min="12" max="12" width="12" customWidth="1"/>
  </cols>
  <sheetData>
    <row r="1" spans="1:12" ht="32" customHeight="1" x14ac:dyDescent="0.35">
      <c r="A1" s="63" t="s">
        <v>668</v>
      </c>
      <c r="B1" s="54"/>
      <c r="C1" s="54"/>
      <c r="D1" s="54"/>
      <c r="E1" s="54"/>
      <c r="F1" s="54"/>
      <c r="G1" s="54"/>
      <c r="H1" s="54"/>
      <c r="I1" s="54"/>
      <c r="J1" s="54"/>
      <c r="K1" s="54"/>
      <c r="L1" s="54"/>
    </row>
    <row r="2" spans="1:12" ht="22" customHeight="1" x14ac:dyDescent="0.35">
      <c r="A2" s="64" t="s">
        <v>669</v>
      </c>
      <c r="B2" s="54"/>
      <c r="C2" s="54"/>
      <c r="D2" s="54"/>
      <c r="E2" s="54"/>
      <c r="F2" s="54"/>
      <c r="G2" s="54"/>
      <c r="H2" s="54"/>
      <c r="I2" s="54"/>
      <c r="J2" s="54"/>
      <c r="K2" s="54"/>
      <c r="L2" s="54"/>
    </row>
    <row r="4" spans="1:12" ht="34" customHeight="1" x14ac:dyDescent="0.35">
      <c r="A4" s="3" t="s">
        <v>217</v>
      </c>
      <c r="B4" s="3" t="s">
        <v>218</v>
      </c>
      <c r="C4" s="3" t="s">
        <v>219</v>
      </c>
      <c r="D4" s="3" t="s">
        <v>220</v>
      </c>
      <c r="E4" s="3" t="s">
        <v>221</v>
      </c>
      <c r="F4" s="3" t="s">
        <v>222</v>
      </c>
      <c r="G4" s="3" t="s">
        <v>223</v>
      </c>
      <c r="H4" s="3" t="s">
        <v>224</v>
      </c>
      <c r="I4" s="3" t="s">
        <v>225</v>
      </c>
      <c r="J4" s="3" t="s">
        <v>226</v>
      </c>
      <c r="K4" s="3" t="s">
        <v>227</v>
      </c>
      <c r="L4" s="3" t="s">
        <v>228</v>
      </c>
    </row>
    <row r="5" spans="1:12" ht="20" customHeight="1" x14ac:dyDescent="0.35">
      <c r="A5" s="65" t="s">
        <v>670</v>
      </c>
      <c r="B5" s="66"/>
      <c r="C5" s="66"/>
      <c r="D5" s="66"/>
      <c r="E5" s="66"/>
      <c r="F5" s="66"/>
      <c r="G5" s="66"/>
      <c r="H5" s="66"/>
      <c r="I5" s="66"/>
      <c r="J5" s="66"/>
      <c r="K5" s="66"/>
      <c r="L5" s="66"/>
    </row>
    <row r="6" spans="1:12" ht="44" customHeight="1" x14ac:dyDescent="0.35">
      <c r="A6" s="18" t="s">
        <v>671</v>
      </c>
      <c r="B6" s="19" t="s">
        <v>672</v>
      </c>
      <c r="C6" s="19" t="s">
        <v>673</v>
      </c>
      <c r="D6" s="19" t="s">
        <v>674</v>
      </c>
      <c r="E6" s="19" t="s">
        <v>675</v>
      </c>
      <c r="F6" s="18" t="s">
        <v>174</v>
      </c>
      <c r="G6" s="25"/>
      <c r="H6" s="26" t="str">
        <f t="shared" ref="H6:H11" si="0">IF(G6="","",IF(G6&lt;=RED_MAX,"RED",IF(G6&lt;=AMBER_MAX,"AMBER","GREEN")))</f>
        <v/>
      </c>
      <c r="I6" s="27" t="s">
        <v>235</v>
      </c>
      <c r="J6" s="27" t="s">
        <v>236</v>
      </c>
      <c r="K6" s="28" t="s">
        <v>237</v>
      </c>
      <c r="L6" s="28" t="s">
        <v>238</v>
      </c>
    </row>
    <row r="7" spans="1:12" ht="42" customHeight="1" x14ac:dyDescent="0.35">
      <c r="A7" s="21" t="s">
        <v>676</v>
      </c>
      <c r="B7" s="22" t="s">
        <v>672</v>
      </c>
      <c r="C7" s="22" t="s">
        <v>677</v>
      </c>
      <c r="D7" s="22" t="s">
        <v>678</v>
      </c>
      <c r="E7" s="22" t="s">
        <v>679</v>
      </c>
      <c r="F7" s="21" t="s">
        <v>174</v>
      </c>
      <c r="G7" s="29"/>
      <c r="H7" s="30" t="str">
        <f t="shared" si="0"/>
        <v/>
      </c>
      <c r="I7" s="31" t="s">
        <v>235</v>
      </c>
      <c r="J7" s="31" t="s">
        <v>236</v>
      </c>
      <c r="K7" s="32" t="s">
        <v>237</v>
      </c>
      <c r="L7" s="32" t="s">
        <v>238</v>
      </c>
    </row>
    <row r="8" spans="1:12" ht="42" customHeight="1" x14ac:dyDescent="0.35">
      <c r="A8" s="18" t="s">
        <v>680</v>
      </c>
      <c r="B8" s="19" t="s">
        <v>672</v>
      </c>
      <c r="C8" s="19" t="s">
        <v>681</v>
      </c>
      <c r="D8" s="19" t="s">
        <v>682</v>
      </c>
      <c r="E8" s="19" t="s">
        <v>683</v>
      </c>
      <c r="F8" s="18" t="s">
        <v>174</v>
      </c>
      <c r="G8" s="25"/>
      <c r="H8" s="26" t="str">
        <f t="shared" si="0"/>
        <v/>
      </c>
      <c r="I8" s="27" t="s">
        <v>235</v>
      </c>
      <c r="J8" s="27" t="s">
        <v>236</v>
      </c>
      <c r="K8" s="28" t="s">
        <v>237</v>
      </c>
      <c r="L8" s="28" t="s">
        <v>238</v>
      </c>
    </row>
    <row r="9" spans="1:12" ht="44" customHeight="1" x14ac:dyDescent="0.35">
      <c r="A9" s="21" t="s">
        <v>684</v>
      </c>
      <c r="B9" s="22" t="s">
        <v>672</v>
      </c>
      <c r="C9" s="22" t="s">
        <v>685</v>
      </c>
      <c r="D9" s="22" t="s">
        <v>686</v>
      </c>
      <c r="E9" s="22" t="s">
        <v>687</v>
      </c>
      <c r="F9" s="21" t="s">
        <v>174</v>
      </c>
      <c r="G9" s="29"/>
      <c r="H9" s="30" t="str">
        <f t="shared" si="0"/>
        <v/>
      </c>
      <c r="I9" s="31" t="s">
        <v>235</v>
      </c>
      <c r="J9" s="31" t="s">
        <v>236</v>
      </c>
      <c r="K9" s="32" t="s">
        <v>237</v>
      </c>
      <c r="L9" s="32" t="s">
        <v>238</v>
      </c>
    </row>
    <row r="10" spans="1:12" ht="44" customHeight="1" x14ac:dyDescent="0.35">
      <c r="A10" s="18" t="s">
        <v>688</v>
      </c>
      <c r="B10" s="19" t="s">
        <v>672</v>
      </c>
      <c r="C10" s="19" t="s">
        <v>689</v>
      </c>
      <c r="D10" s="19" t="s">
        <v>690</v>
      </c>
      <c r="E10" s="19" t="s">
        <v>691</v>
      </c>
      <c r="F10" s="18" t="s">
        <v>174</v>
      </c>
      <c r="G10" s="25"/>
      <c r="H10" s="26" t="str">
        <f t="shared" si="0"/>
        <v/>
      </c>
      <c r="I10" s="27" t="s">
        <v>235</v>
      </c>
      <c r="J10" s="27" t="s">
        <v>236</v>
      </c>
      <c r="K10" s="28" t="s">
        <v>237</v>
      </c>
      <c r="L10" s="28" t="s">
        <v>238</v>
      </c>
    </row>
    <row r="11" spans="1:12" ht="44" customHeight="1" x14ac:dyDescent="0.35">
      <c r="A11" s="21" t="s">
        <v>692</v>
      </c>
      <c r="B11" s="22" t="s">
        <v>672</v>
      </c>
      <c r="C11" s="22" t="s">
        <v>693</v>
      </c>
      <c r="D11" s="22" t="s">
        <v>694</v>
      </c>
      <c r="E11" s="22" t="s">
        <v>695</v>
      </c>
      <c r="F11" s="21" t="s">
        <v>174</v>
      </c>
      <c r="G11" s="29"/>
      <c r="H11" s="30" t="str">
        <f t="shared" si="0"/>
        <v/>
      </c>
      <c r="I11" s="31" t="s">
        <v>235</v>
      </c>
      <c r="J11" s="31" t="s">
        <v>236</v>
      </c>
      <c r="K11" s="32" t="s">
        <v>237</v>
      </c>
      <c r="L11" s="32" t="s">
        <v>238</v>
      </c>
    </row>
    <row r="12" spans="1:12" ht="20" customHeight="1" x14ac:dyDescent="0.35">
      <c r="A12" s="65" t="s">
        <v>696</v>
      </c>
      <c r="B12" s="66"/>
      <c r="C12" s="66"/>
      <c r="D12" s="66"/>
      <c r="E12" s="66"/>
      <c r="F12" s="66"/>
      <c r="G12" s="66"/>
      <c r="H12" s="66"/>
      <c r="I12" s="66"/>
      <c r="J12" s="66"/>
      <c r="K12" s="66"/>
      <c r="L12" s="66"/>
    </row>
    <row r="13" spans="1:12" ht="42" customHeight="1" x14ac:dyDescent="0.35">
      <c r="A13" s="18" t="s">
        <v>697</v>
      </c>
      <c r="B13" s="19" t="s">
        <v>698</v>
      </c>
      <c r="C13" s="19" t="s">
        <v>699</v>
      </c>
      <c r="D13" s="19" t="s">
        <v>700</v>
      </c>
      <c r="E13" s="19" t="s">
        <v>701</v>
      </c>
      <c r="F13" s="18" t="s">
        <v>178</v>
      </c>
      <c r="G13" s="25"/>
      <c r="H13" s="26" t="str">
        <f t="shared" ref="H13:H20" si="1">IF(G13="","",IF(G13&lt;=RED_MAX,"RED",IF(G13&lt;=AMBER_MAX,"AMBER","GREEN")))</f>
        <v/>
      </c>
      <c r="I13" s="27" t="s">
        <v>235</v>
      </c>
      <c r="J13" s="27" t="s">
        <v>236</v>
      </c>
      <c r="K13" s="28" t="s">
        <v>237</v>
      </c>
      <c r="L13" s="28" t="s">
        <v>238</v>
      </c>
    </row>
    <row r="14" spans="1:12" ht="44" customHeight="1" x14ac:dyDescent="0.35">
      <c r="A14" s="21" t="s">
        <v>702</v>
      </c>
      <c r="B14" s="22" t="s">
        <v>698</v>
      </c>
      <c r="C14" s="22" t="s">
        <v>703</v>
      </c>
      <c r="D14" s="22" t="s">
        <v>704</v>
      </c>
      <c r="E14" s="22" t="s">
        <v>705</v>
      </c>
      <c r="F14" s="21" t="s">
        <v>178</v>
      </c>
      <c r="G14" s="29"/>
      <c r="H14" s="30" t="str">
        <f t="shared" si="1"/>
        <v/>
      </c>
      <c r="I14" s="31" t="s">
        <v>235</v>
      </c>
      <c r="J14" s="31" t="s">
        <v>236</v>
      </c>
      <c r="K14" s="32" t="s">
        <v>237</v>
      </c>
      <c r="L14" s="32" t="s">
        <v>238</v>
      </c>
    </row>
    <row r="15" spans="1:12" ht="44" customHeight="1" x14ac:dyDescent="0.35">
      <c r="A15" s="18" t="s">
        <v>706</v>
      </c>
      <c r="B15" s="19" t="s">
        <v>698</v>
      </c>
      <c r="C15" s="19" t="s">
        <v>707</v>
      </c>
      <c r="D15" s="19" t="s">
        <v>708</v>
      </c>
      <c r="E15" s="19" t="s">
        <v>709</v>
      </c>
      <c r="F15" s="18" t="s">
        <v>178</v>
      </c>
      <c r="G15" s="25"/>
      <c r="H15" s="26" t="str">
        <f t="shared" si="1"/>
        <v/>
      </c>
      <c r="I15" s="27" t="s">
        <v>235</v>
      </c>
      <c r="J15" s="27" t="s">
        <v>236</v>
      </c>
      <c r="K15" s="28" t="s">
        <v>237</v>
      </c>
      <c r="L15" s="28" t="s">
        <v>238</v>
      </c>
    </row>
    <row r="16" spans="1:12" ht="42" customHeight="1" x14ac:dyDescent="0.35">
      <c r="A16" s="21" t="s">
        <v>710</v>
      </c>
      <c r="B16" s="22" t="s">
        <v>698</v>
      </c>
      <c r="C16" s="22" t="s">
        <v>711</v>
      </c>
      <c r="D16" s="22" t="s">
        <v>712</v>
      </c>
      <c r="E16" s="22" t="s">
        <v>713</v>
      </c>
      <c r="F16" s="21" t="s">
        <v>178</v>
      </c>
      <c r="G16" s="29"/>
      <c r="H16" s="30" t="str">
        <f t="shared" si="1"/>
        <v/>
      </c>
      <c r="I16" s="31" t="s">
        <v>235</v>
      </c>
      <c r="J16" s="31" t="s">
        <v>236</v>
      </c>
      <c r="K16" s="32" t="s">
        <v>237</v>
      </c>
      <c r="L16" s="32" t="s">
        <v>238</v>
      </c>
    </row>
    <row r="17" spans="1:12" ht="42" customHeight="1" x14ac:dyDescent="0.35">
      <c r="A17" s="18" t="s">
        <v>714</v>
      </c>
      <c r="B17" s="19" t="s">
        <v>698</v>
      </c>
      <c r="C17" s="19" t="s">
        <v>715</v>
      </c>
      <c r="D17" s="19" t="s">
        <v>716</v>
      </c>
      <c r="E17" s="19" t="s">
        <v>717</v>
      </c>
      <c r="F17" s="18" t="s">
        <v>178</v>
      </c>
      <c r="G17" s="25"/>
      <c r="H17" s="26" t="str">
        <f t="shared" si="1"/>
        <v/>
      </c>
      <c r="I17" s="27" t="s">
        <v>235</v>
      </c>
      <c r="J17" s="27" t="s">
        <v>236</v>
      </c>
      <c r="K17" s="28" t="s">
        <v>237</v>
      </c>
      <c r="L17" s="28" t="s">
        <v>238</v>
      </c>
    </row>
    <row r="18" spans="1:12" ht="42" customHeight="1" x14ac:dyDescent="0.35">
      <c r="A18" s="21" t="s">
        <v>718</v>
      </c>
      <c r="B18" s="22" t="s">
        <v>698</v>
      </c>
      <c r="C18" s="22" t="s">
        <v>719</v>
      </c>
      <c r="D18" s="22" t="s">
        <v>720</v>
      </c>
      <c r="E18" s="22" t="s">
        <v>721</v>
      </c>
      <c r="F18" s="21" t="s">
        <v>178</v>
      </c>
      <c r="G18" s="29"/>
      <c r="H18" s="30" t="str">
        <f t="shared" si="1"/>
        <v/>
      </c>
      <c r="I18" s="31" t="s">
        <v>235</v>
      </c>
      <c r="J18" s="31" t="s">
        <v>236</v>
      </c>
      <c r="K18" s="32" t="s">
        <v>237</v>
      </c>
      <c r="L18" s="32" t="s">
        <v>238</v>
      </c>
    </row>
    <row r="19" spans="1:12" ht="42" customHeight="1" x14ac:dyDescent="0.35">
      <c r="A19" s="18" t="s">
        <v>722</v>
      </c>
      <c r="B19" s="19" t="s">
        <v>698</v>
      </c>
      <c r="C19" s="19" t="s">
        <v>723</v>
      </c>
      <c r="D19" s="19" t="s">
        <v>724</v>
      </c>
      <c r="E19" s="19" t="s">
        <v>725</v>
      </c>
      <c r="F19" s="18" t="s">
        <v>178</v>
      </c>
      <c r="G19" s="25"/>
      <c r="H19" s="26" t="str">
        <f t="shared" si="1"/>
        <v/>
      </c>
      <c r="I19" s="27" t="s">
        <v>235</v>
      </c>
      <c r="J19" s="27" t="s">
        <v>236</v>
      </c>
      <c r="K19" s="28" t="s">
        <v>237</v>
      </c>
      <c r="L19" s="28" t="s">
        <v>238</v>
      </c>
    </row>
    <row r="20" spans="1:12" ht="42" customHeight="1" x14ac:dyDescent="0.35">
      <c r="A20" s="21" t="s">
        <v>726</v>
      </c>
      <c r="B20" s="22" t="s">
        <v>698</v>
      </c>
      <c r="C20" s="22" t="s">
        <v>727</v>
      </c>
      <c r="D20" s="22" t="s">
        <v>728</v>
      </c>
      <c r="E20" s="22" t="s">
        <v>729</v>
      </c>
      <c r="F20" s="21" t="s">
        <v>178</v>
      </c>
      <c r="G20" s="29"/>
      <c r="H20" s="30" t="str">
        <f t="shared" si="1"/>
        <v/>
      </c>
      <c r="I20" s="31" t="s">
        <v>235</v>
      </c>
      <c r="J20" s="31" t="s">
        <v>236</v>
      </c>
      <c r="K20" s="32" t="s">
        <v>237</v>
      </c>
      <c r="L20" s="32" t="s">
        <v>238</v>
      </c>
    </row>
    <row r="21" spans="1:12" ht="20" customHeight="1" x14ac:dyDescent="0.35">
      <c r="A21" s="65" t="s">
        <v>730</v>
      </c>
      <c r="B21" s="66"/>
      <c r="C21" s="66"/>
      <c r="D21" s="66"/>
      <c r="E21" s="66"/>
      <c r="F21" s="66"/>
      <c r="G21" s="66"/>
      <c r="H21" s="66"/>
      <c r="I21" s="66"/>
      <c r="J21" s="66"/>
      <c r="K21" s="66"/>
      <c r="L21" s="66"/>
    </row>
    <row r="22" spans="1:12" ht="42" customHeight="1" x14ac:dyDescent="0.35">
      <c r="A22" s="18" t="s">
        <v>731</v>
      </c>
      <c r="B22" s="19" t="s">
        <v>732</v>
      </c>
      <c r="C22" s="19" t="s">
        <v>733</v>
      </c>
      <c r="D22" s="19" t="s">
        <v>734</v>
      </c>
      <c r="E22" s="19" t="s">
        <v>735</v>
      </c>
      <c r="F22" s="18" t="s">
        <v>180</v>
      </c>
      <c r="G22" s="25"/>
      <c r="H22" s="26" t="str">
        <f>IF(G22="","",IF(G22&lt;=RED_MAX,"RED",IF(G22&lt;=AMBER_MAX,"AMBER","GREEN")))</f>
        <v/>
      </c>
      <c r="I22" s="27" t="s">
        <v>235</v>
      </c>
      <c r="J22" s="27" t="s">
        <v>236</v>
      </c>
      <c r="K22" s="28" t="s">
        <v>237</v>
      </c>
      <c r="L22" s="28" t="s">
        <v>238</v>
      </c>
    </row>
    <row r="23" spans="1:12" ht="42" customHeight="1" x14ac:dyDescent="0.35">
      <c r="A23" s="21" t="s">
        <v>736</v>
      </c>
      <c r="B23" s="22" t="s">
        <v>732</v>
      </c>
      <c r="C23" s="22" t="s">
        <v>737</v>
      </c>
      <c r="D23" s="22" t="s">
        <v>738</v>
      </c>
      <c r="E23" s="22" t="s">
        <v>739</v>
      </c>
      <c r="F23" s="21" t="s">
        <v>180</v>
      </c>
      <c r="G23" s="29"/>
      <c r="H23" s="30" t="str">
        <f>IF(G23="","",IF(G23&lt;=RED_MAX,"RED",IF(G23&lt;=AMBER_MAX,"AMBER","GREEN")))</f>
        <v/>
      </c>
      <c r="I23" s="31" t="s">
        <v>235</v>
      </c>
      <c r="J23" s="31" t="s">
        <v>236</v>
      </c>
      <c r="K23" s="32" t="s">
        <v>237</v>
      </c>
      <c r="L23" s="32" t="s">
        <v>238</v>
      </c>
    </row>
    <row r="24" spans="1:12" ht="44" customHeight="1" x14ac:dyDescent="0.35">
      <c r="A24" s="18" t="s">
        <v>740</v>
      </c>
      <c r="B24" s="19" t="s">
        <v>732</v>
      </c>
      <c r="C24" s="19" t="s">
        <v>741</v>
      </c>
      <c r="D24" s="19" t="s">
        <v>742</v>
      </c>
      <c r="E24" s="19" t="s">
        <v>743</v>
      </c>
      <c r="F24" s="18" t="s">
        <v>180</v>
      </c>
      <c r="G24" s="25"/>
      <c r="H24" s="26" t="str">
        <f>IF(G24="","",IF(G24&lt;=RED_MAX,"RED",IF(G24&lt;=AMBER_MAX,"AMBER","GREEN")))</f>
        <v/>
      </c>
      <c r="I24" s="27" t="s">
        <v>235</v>
      </c>
      <c r="J24" s="27" t="s">
        <v>236</v>
      </c>
      <c r="K24" s="28" t="s">
        <v>237</v>
      </c>
      <c r="L24" s="28" t="s">
        <v>238</v>
      </c>
    </row>
    <row r="25" spans="1:12" ht="44" customHeight="1" x14ac:dyDescent="0.35">
      <c r="A25" s="21" t="s">
        <v>744</v>
      </c>
      <c r="B25" s="22" t="s">
        <v>732</v>
      </c>
      <c r="C25" s="22" t="s">
        <v>745</v>
      </c>
      <c r="D25" s="22" t="s">
        <v>746</v>
      </c>
      <c r="E25" s="22" t="s">
        <v>747</v>
      </c>
      <c r="F25" s="21" t="s">
        <v>180</v>
      </c>
      <c r="G25" s="29"/>
      <c r="H25" s="30" t="str">
        <f>IF(G25="","",IF(G25&lt;=RED_MAX,"RED",IF(G25&lt;=AMBER_MAX,"AMBER","GREEN")))</f>
        <v/>
      </c>
      <c r="I25" s="31" t="s">
        <v>235</v>
      </c>
      <c r="J25" s="31" t="s">
        <v>236</v>
      </c>
      <c r="K25" s="32" t="s">
        <v>237</v>
      </c>
      <c r="L25" s="32" t="s">
        <v>238</v>
      </c>
    </row>
    <row r="26" spans="1:12" ht="42" customHeight="1" x14ac:dyDescent="0.35">
      <c r="A26" s="18" t="s">
        <v>748</v>
      </c>
      <c r="B26" s="19" t="s">
        <v>732</v>
      </c>
      <c r="C26" s="19" t="s">
        <v>749</v>
      </c>
      <c r="D26" s="19" t="s">
        <v>750</v>
      </c>
      <c r="E26" s="19" t="s">
        <v>751</v>
      </c>
      <c r="F26" s="18" t="s">
        <v>180</v>
      </c>
      <c r="G26" s="25"/>
      <c r="H26" s="26" t="str">
        <f>IF(G26="","",IF(G26&lt;=RED_MAX,"RED",IF(G26&lt;=AMBER_MAX,"AMBER","GREEN")))</f>
        <v/>
      </c>
      <c r="I26" s="27" t="s">
        <v>235</v>
      </c>
      <c r="J26" s="27" t="s">
        <v>236</v>
      </c>
      <c r="K26" s="28" t="s">
        <v>237</v>
      </c>
      <c r="L26" s="28" t="s">
        <v>238</v>
      </c>
    </row>
    <row r="27" spans="1:12" ht="20" customHeight="1" x14ac:dyDescent="0.35">
      <c r="A27" s="65" t="s">
        <v>752</v>
      </c>
      <c r="B27" s="66"/>
      <c r="C27" s="66"/>
      <c r="D27" s="66"/>
      <c r="E27" s="66"/>
      <c r="F27" s="66"/>
      <c r="G27" s="66"/>
      <c r="H27" s="66"/>
      <c r="I27" s="66"/>
      <c r="J27" s="66"/>
      <c r="K27" s="66"/>
      <c r="L27" s="66"/>
    </row>
    <row r="28" spans="1:12" ht="44" customHeight="1" x14ac:dyDescent="0.35">
      <c r="A28" s="21" t="s">
        <v>753</v>
      </c>
      <c r="B28" s="22" t="s">
        <v>754</v>
      </c>
      <c r="C28" s="22" t="s">
        <v>755</v>
      </c>
      <c r="D28" s="22" t="s">
        <v>756</v>
      </c>
      <c r="E28" s="22" t="s">
        <v>757</v>
      </c>
      <c r="F28" s="21" t="s">
        <v>182</v>
      </c>
      <c r="G28" s="29"/>
      <c r="H28" s="30" t="str">
        <f>IF(G28="","",IF(G28&lt;=RED_MAX,"RED",IF(G28&lt;=AMBER_MAX,"AMBER","GREEN")))</f>
        <v/>
      </c>
      <c r="I28" s="31" t="s">
        <v>235</v>
      </c>
      <c r="J28" s="31" t="s">
        <v>236</v>
      </c>
      <c r="K28" s="32" t="s">
        <v>237</v>
      </c>
      <c r="L28" s="32" t="s">
        <v>238</v>
      </c>
    </row>
    <row r="29" spans="1:12" ht="42" customHeight="1" x14ac:dyDescent="0.35">
      <c r="A29" s="18" t="s">
        <v>758</v>
      </c>
      <c r="B29" s="19" t="s">
        <v>754</v>
      </c>
      <c r="C29" s="19" t="s">
        <v>759</v>
      </c>
      <c r="D29" s="19" t="s">
        <v>760</v>
      </c>
      <c r="E29" s="19" t="s">
        <v>761</v>
      </c>
      <c r="F29" s="18" t="s">
        <v>182</v>
      </c>
      <c r="G29" s="25"/>
      <c r="H29" s="26" t="str">
        <f>IF(G29="","",IF(G29&lt;=RED_MAX,"RED",IF(G29&lt;=AMBER_MAX,"AMBER","GREEN")))</f>
        <v/>
      </c>
      <c r="I29" s="27" t="s">
        <v>235</v>
      </c>
      <c r="J29" s="27" t="s">
        <v>236</v>
      </c>
      <c r="K29" s="28" t="s">
        <v>237</v>
      </c>
      <c r="L29" s="28" t="s">
        <v>238</v>
      </c>
    </row>
    <row r="30" spans="1:12" ht="42" customHeight="1" x14ac:dyDescent="0.35">
      <c r="A30" s="21" t="s">
        <v>762</v>
      </c>
      <c r="B30" s="22" t="s">
        <v>754</v>
      </c>
      <c r="C30" s="22" t="s">
        <v>763</v>
      </c>
      <c r="D30" s="22" t="s">
        <v>764</v>
      </c>
      <c r="E30" s="22" t="s">
        <v>765</v>
      </c>
      <c r="F30" s="21" t="s">
        <v>182</v>
      </c>
      <c r="G30" s="29"/>
      <c r="H30" s="30" t="str">
        <f>IF(G30="","",IF(G30&lt;=RED_MAX,"RED",IF(G30&lt;=AMBER_MAX,"AMBER","GREEN")))</f>
        <v/>
      </c>
      <c r="I30" s="31" t="s">
        <v>235</v>
      </c>
      <c r="J30" s="31" t="s">
        <v>236</v>
      </c>
      <c r="K30" s="32" t="s">
        <v>237</v>
      </c>
      <c r="L30" s="32" t="s">
        <v>238</v>
      </c>
    </row>
    <row r="31" spans="1:12" ht="44" customHeight="1" x14ac:dyDescent="0.35">
      <c r="A31" s="18" t="s">
        <v>766</v>
      </c>
      <c r="B31" s="19" t="s">
        <v>754</v>
      </c>
      <c r="C31" s="19" t="s">
        <v>767</v>
      </c>
      <c r="D31" s="19" t="s">
        <v>768</v>
      </c>
      <c r="E31" s="19" t="s">
        <v>769</v>
      </c>
      <c r="F31" s="18" t="s">
        <v>182</v>
      </c>
      <c r="G31" s="25"/>
      <c r="H31" s="26" t="str">
        <f>IF(G31="","",IF(G31&lt;=RED_MAX,"RED",IF(G31&lt;=AMBER_MAX,"AMBER","GREEN")))</f>
        <v/>
      </c>
      <c r="I31" s="27" t="s">
        <v>235</v>
      </c>
      <c r="J31" s="27" t="s">
        <v>236</v>
      </c>
      <c r="K31" s="28" t="s">
        <v>237</v>
      </c>
      <c r="L31" s="28" t="s">
        <v>238</v>
      </c>
    </row>
    <row r="32" spans="1:12" ht="20" customHeight="1" x14ac:dyDescent="0.35">
      <c r="A32" s="65" t="s">
        <v>770</v>
      </c>
      <c r="B32" s="66"/>
      <c r="C32" s="66"/>
      <c r="D32" s="66"/>
      <c r="E32" s="66"/>
      <c r="F32" s="66"/>
      <c r="G32" s="66"/>
      <c r="H32" s="66"/>
      <c r="I32" s="66"/>
      <c r="J32" s="66"/>
      <c r="K32" s="66"/>
      <c r="L32" s="66"/>
    </row>
    <row r="33" spans="1:12" ht="42" customHeight="1" x14ac:dyDescent="0.35">
      <c r="A33" s="21" t="s">
        <v>771</v>
      </c>
      <c r="B33" s="22" t="s">
        <v>772</v>
      </c>
      <c r="C33" s="22" t="s">
        <v>773</v>
      </c>
      <c r="D33" s="22" t="s">
        <v>774</v>
      </c>
      <c r="E33" s="22" t="s">
        <v>775</v>
      </c>
      <c r="F33" s="21" t="s">
        <v>184</v>
      </c>
      <c r="G33" s="29"/>
      <c r="H33" s="30" t="str">
        <f t="shared" ref="H33:H38" si="2">IF(G33="","",IF(G33&lt;=RED_MAX,"RED",IF(G33&lt;=AMBER_MAX,"AMBER","GREEN")))</f>
        <v/>
      </c>
      <c r="I33" s="31" t="s">
        <v>235</v>
      </c>
      <c r="J33" s="31" t="s">
        <v>236</v>
      </c>
      <c r="K33" s="32" t="s">
        <v>237</v>
      </c>
      <c r="L33" s="32" t="s">
        <v>238</v>
      </c>
    </row>
    <row r="34" spans="1:12" ht="42" customHeight="1" x14ac:dyDescent="0.35">
      <c r="A34" s="18" t="s">
        <v>776</v>
      </c>
      <c r="B34" s="19" t="s">
        <v>772</v>
      </c>
      <c r="C34" s="19" t="s">
        <v>777</v>
      </c>
      <c r="D34" s="19" t="s">
        <v>778</v>
      </c>
      <c r="E34" s="19" t="s">
        <v>779</v>
      </c>
      <c r="F34" s="18" t="s">
        <v>184</v>
      </c>
      <c r="G34" s="25"/>
      <c r="H34" s="26" t="str">
        <f t="shared" si="2"/>
        <v/>
      </c>
      <c r="I34" s="27" t="s">
        <v>235</v>
      </c>
      <c r="J34" s="27" t="s">
        <v>236</v>
      </c>
      <c r="K34" s="28" t="s">
        <v>237</v>
      </c>
      <c r="L34" s="28" t="s">
        <v>238</v>
      </c>
    </row>
    <row r="35" spans="1:12" ht="44" customHeight="1" x14ac:dyDescent="0.35">
      <c r="A35" s="21" t="s">
        <v>780</v>
      </c>
      <c r="B35" s="22" t="s">
        <v>772</v>
      </c>
      <c r="C35" s="22" t="s">
        <v>781</v>
      </c>
      <c r="D35" s="22" t="s">
        <v>782</v>
      </c>
      <c r="E35" s="22" t="s">
        <v>783</v>
      </c>
      <c r="F35" s="21" t="s">
        <v>184</v>
      </c>
      <c r="G35" s="29"/>
      <c r="H35" s="30" t="str">
        <f t="shared" si="2"/>
        <v/>
      </c>
      <c r="I35" s="31" t="s">
        <v>235</v>
      </c>
      <c r="J35" s="31" t="s">
        <v>236</v>
      </c>
      <c r="K35" s="32" t="s">
        <v>237</v>
      </c>
      <c r="L35" s="32" t="s">
        <v>238</v>
      </c>
    </row>
    <row r="36" spans="1:12" ht="42" customHeight="1" x14ac:dyDescent="0.35">
      <c r="A36" s="18" t="s">
        <v>784</v>
      </c>
      <c r="B36" s="19" t="s">
        <v>772</v>
      </c>
      <c r="C36" s="19" t="s">
        <v>785</v>
      </c>
      <c r="D36" s="19" t="s">
        <v>786</v>
      </c>
      <c r="E36" s="19" t="s">
        <v>787</v>
      </c>
      <c r="F36" s="18" t="s">
        <v>184</v>
      </c>
      <c r="G36" s="25"/>
      <c r="H36" s="26" t="str">
        <f t="shared" si="2"/>
        <v/>
      </c>
      <c r="I36" s="27" t="s">
        <v>235</v>
      </c>
      <c r="J36" s="27" t="s">
        <v>236</v>
      </c>
      <c r="K36" s="28" t="s">
        <v>237</v>
      </c>
      <c r="L36" s="28" t="s">
        <v>238</v>
      </c>
    </row>
    <row r="37" spans="1:12" ht="44" customHeight="1" x14ac:dyDescent="0.35">
      <c r="A37" s="21" t="s">
        <v>788</v>
      </c>
      <c r="B37" s="22" t="s">
        <v>772</v>
      </c>
      <c r="C37" s="22" t="s">
        <v>789</v>
      </c>
      <c r="D37" s="22" t="s">
        <v>790</v>
      </c>
      <c r="E37" s="22" t="s">
        <v>791</v>
      </c>
      <c r="F37" s="21" t="s">
        <v>184</v>
      </c>
      <c r="G37" s="29"/>
      <c r="H37" s="30" t="str">
        <f t="shared" si="2"/>
        <v/>
      </c>
      <c r="I37" s="31" t="s">
        <v>235</v>
      </c>
      <c r="J37" s="31" t="s">
        <v>236</v>
      </c>
      <c r="K37" s="32" t="s">
        <v>237</v>
      </c>
      <c r="L37" s="32" t="s">
        <v>238</v>
      </c>
    </row>
    <row r="38" spans="1:12" ht="44" customHeight="1" x14ac:dyDescent="0.35">
      <c r="A38" s="18" t="s">
        <v>792</v>
      </c>
      <c r="B38" s="19" t="s">
        <v>772</v>
      </c>
      <c r="C38" s="19" t="s">
        <v>793</v>
      </c>
      <c r="D38" s="19" t="s">
        <v>794</v>
      </c>
      <c r="E38" s="19" t="s">
        <v>795</v>
      </c>
      <c r="F38" s="18" t="s">
        <v>184</v>
      </c>
      <c r="G38" s="25"/>
      <c r="H38" s="26" t="str">
        <f t="shared" si="2"/>
        <v/>
      </c>
      <c r="I38" s="27" t="s">
        <v>235</v>
      </c>
      <c r="J38" s="27" t="s">
        <v>236</v>
      </c>
      <c r="K38" s="28" t="s">
        <v>237</v>
      </c>
      <c r="L38" s="28" t="s">
        <v>238</v>
      </c>
    </row>
  </sheetData>
  <mergeCells count="7">
    <mergeCell ref="A2:L2"/>
    <mergeCell ref="A1:L1"/>
    <mergeCell ref="A5:L5"/>
    <mergeCell ref="A32:L32"/>
    <mergeCell ref="A27:L27"/>
    <mergeCell ref="A21:L21"/>
    <mergeCell ref="A12:L12"/>
  </mergeCells>
  <conditionalFormatting sqref="G5:G38">
    <cfRule type="expression" dxfId="67" priority="1">
      <formula>$H5="RED"</formula>
    </cfRule>
    <cfRule type="expression" dxfId="66" priority="3">
      <formula>$H5="AMBER"</formula>
    </cfRule>
    <cfRule type="expression" dxfId="65" priority="5">
      <formula>$H5="GREEN"</formula>
    </cfRule>
  </conditionalFormatting>
  <conditionalFormatting sqref="H5:H38">
    <cfRule type="expression" dxfId="64" priority="2">
      <formula>$H5="RED"</formula>
    </cfRule>
    <cfRule type="expression" dxfId="63" priority="4">
      <formula>$H5="AMBER"</formula>
    </cfRule>
    <cfRule type="expression" dxfId="62" priority="6">
      <formula>$H5="GREEN"</formula>
    </cfRule>
  </conditionalFormatting>
  <dataValidations count="1">
    <dataValidation type="whole" allowBlank="1" showErrorMessage="1" errorTitle="Invalid Score" error="Please enter a whole score between 1 and 5" sqref="G5:G38" xr:uid="{00000000-0002-0000-0500-000000000000}">
      <formula1>1</formula1>
      <formula2>5</formula2>
    </dataValidation>
  </dataValidations>
  <pageMargins left="0.75" right="0.75" top="1" bottom="1" header="0.5" footer="0.5"/>
  <pageSetup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55A11"/>
    <pageSetUpPr fitToPage="1"/>
  </sheetPr>
  <dimension ref="A1:N26"/>
  <sheetViews>
    <sheetView showGridLines="0" workbookViewId="0">
      <pane xSplit="2" ySplit="4" topLeftCell="C5" activePane="bottomRight" state="frozen"/>
      <selection pane="topRight"/>
      <selection pane="bottomLeft"/>
      <selection pane="bottomRight"/>
    </sheetView>
  </sheetViews>
  <sheetFormatPr defaultRowHeight="14.5" x14ac:dyDescent="0.35"/>
  <cols>
    <col min="1" max="1" width="11" customWidth="1"/>
    <col min="2" max="2" width="30" customWidth="1"/>
    <col min="3" max="3" width="42" customWidth="1"/>
    <col min="4" max="4" width="46" customWidth="1"/>
    <col min="5" max="5" width="36" customWidth="1"/>
    <col min="6" max="6" width="16" customWidth="1"/>
    <col min="7" max="8" width="12" customWidth="1"/>
    <col min="9" max="9" width="11" customWidth="1"/>
    <col min="10" max="10" width="12" customWidth="1"/>
    <col min="11" max="12" width="11" customWidth="1"/>
    <col min="13" max="13" width="16" customWidth="1"/>
    <col min="14" max="14" width="26" customWidth="1"/>
  </cols>
  <sheetData>
    <row r="1" spans="1:14" ht="32" customHeight="1" x14ac:dyDescent="0.35">
      <c r="A1" s="63" t="s">
        <v>796</v>
      </c>
      <c r="B1" s="54"/>
      <c r="C1" s="54"/>
      <c r="D1" s="54"/>
      <c r="E1" s="54"/>
      <c r="F1" s="54"/>
      <c r="G1" s="54"/>
      <c r="H1" s="54"/>
      <c r="I1" s="54"/>
      <c r="J1" s="54"/>
      <c r="K1" s="54"/>
      <c r="L1" s="54"/>
      <c r="M1" s="54"/>
      <c r="N1" s="54"/>
    </row>
    <row r="2" spans="1:14" ht="22" customHeight="1" x14ac:dyDescent="0.35">
      <c r="A2" s="64" t="s">
        <v>797</v>
      </c>
      <c r="B2" s="54"/>
      <c r="C2" s="54"/>
      <c r="D2" s="54"/>
      <c r="E2" s="54"/>
      <c r="F2" s="54"/>
      <c r="G2" s="54"/>
      <c r="H2" s="54"/>
      <c r="I2" s="54"/>
      <c r="J2" s="54"/>
      <c r="K2" s="54"/>
      <c r="L2" s="54"/>
      <c r="M2" s="54"/>
      <c r="N2" s="54"/>
    </row>
    <row r="4" spans="1:14" ht="44" customHeight="1" x14ac:dyDescent="0.35">
      <c r="A4" s="3" t="s">
        <v>798</v>
      </c>
      <c r="B4" s="3" t="s">
        <v>799</v>
      </c>
      <c r="C4" s="3" t="s">
        <v>800</v>
      </c>
      <c r="D4" s="3" t="s">
        <v>801</v>
      </c>
      <c r="E4" s="3" t="s">
        <v>802</v>
      </c>
      <c r="F4" s="3" t="s">
        <v>803</v>
      </c>
      <c r="G4" s="3" t="s">
        <v>804</v>
      </c>
      <c r="H4" s="3" t="s">
        <v>805</v>
      </c>
      <c r="I4" s="3" t="s">
        <v>806</v>
      </c>
      <c r="J4" s="3" t="s">
        <v>572</v>
      </c>
      <c r="K4" s="3" t="s">
        <v>807</v>
      </c>
      <c r="L4" s="3" t="s">
        <v>808</v>
      </c>
      <c r="M4" s="3" t="s">
        <v>575</v>
      </c>
      <c r="N4" s="3" t="s">
        <v>94</v>
      </c>
    </row>
    <row r="5" spans="1:14" ht="44" customHeight="1" x14ac:dyDescent="0.35">
      <c r="A5" s="18" t="s">
        <v>809</v>
      </c>
      <c r="B5" s="19" t="s">
        <v>810</v>
      </c>
      <c r="C5" s="19" t="s">
        <v>811</v>
      </c>
      <c r="D5" s="19" t="s">
        <v>812</v>
      </c>
      <c r="E5" s="19" t="s">
        <v>813</v>
      </c>
      <c r="F5" s="19" t="s">
        <v>814</v>
      </c>
      <c r="G5" s="33"/>
      <c r="H5" s="33"/>
      <c r="I5" s="18" t="str">
        <f t="shared" ref="I5:I26" si="0">IF(OR(G5="",H5=""),"",IF(H5&lt;=G5,"Within","Exceeded"))</f>
        <v/>
      </c>
      <c r="J5" s="26" t="s">
        <v>581</v>
      </c>
      <c r="K5" s="28" t="s">
        <v>238</v>
      </c>
      <c r="L5" s="28"/>
      <c r="M5" s="27"/>
      <c r="N5" s="27"/>
    </row>
    <row r="6" spans="1:14" ht="44" customHeight="1" x14ac:dyDescent="0.35">
      <c r="A6" s="21" t="s">
        <v>815</v>
      </c>
      <c r="B6" s="22" t="s">
        <v>816</v>
      </c>
      <c r="C6" s="22" t="s">
        <v>817</v>
      </c>
      <c r="D6" s="22" t="s">
        <v>818</v>
      </c>
      <c r="E6" s="22" t="s">
        <v>813</v>
      </c>
      <c r="F6" s="22" t="s">
        <v>819</v>
      </c>
      <c r="G6" s="34"/>
      <c r="H6" s="34"/>
      <c r="I6" s="21" t="str">
        <f t="shared" si="0"/>
        <v/>
      </c>
      <c r="J6" s="30" t="s">
        <v>581</v>
      </c>
      <c r="K6" s="32" t="s">
        <v>238</v>
      </c>
      <c r="L6" s="32"/>
      <c r="M6" s="31"/>
      <c r="N6" s="31"/>
    </row>
    <row r="7" spans="1:14" ht="44" customHeight="1" x14ac:dyDescent="0.35">
      <c r="A7" s="18" t="s">
        <v>820</v>
      </c>
      <c r="B7" s="19" t="s">
        <v>821</v>
      </c>
      <c r="C7" s="19" t="s">
        <v>822</v>
      </c>
      <c r="D7" s="19" t="s">
        <v>823</v>
      </c>
      <c r="E7" s="19" t="s">
        <v>813</v>
      </c>
      <c r="F7" s="19" t="s">
        <v>824</v>
      </c>
      <c r="G7" s="33"/>
      <c r="H7" s="33"/>
      <c r="I7" s="18" t="str">
        <f t="shared" si="0"/>
        <v/>
      </c>
      <c r="J7" s="26" t="s">
        <v>581</v>
      </c>
      <c r="K7" s="28" t="s">
        <v>238</v>
      </c>
      <c r="L7" s="28"/>
      <c r="M7" s="27"/>
      <c r="N7" s="27"/>
    </row>
    <row r="8" spans="1:14" ht="44" customHeight="1" x14ac:dyDescent="0.35">
      <c r="A8" s="21" t="s">
        <v>825</v>
      </c>
      <c r="B8" s="22" t="s">
        <v>826</v>
      </c>
      <c r="C8" s="22" t="s">
        <v>827</v>
      </c>
      <c r="D8" s="22" t="s">
        <v>828</v>
      </c>
      <c r="E8" s="22" t="s">
        <v>813</v>
      </c>
      <c r="F8" s="22" t="s">
        <v>829</v>
      </c>
      <c r="G8" s="34"/>
      <c r="H8" s="34"/>
      <c r="I8" s="21" t="str">
        <f t="shared" si="0"/>
        <v/>
      </c>
      <c r="J8" s="30" t="s">
        <v>581</v>
      </c>
      <c r="K8" s="32" t="s">
        <v>238</v>
      </c>
      <c r="L8" s="32"/>
      <c r="M8" s="31"/>
      <c r="N8" s="31"/>
    </row>
    <row r="9" spans="1:14" ht="44" customHeight="1" x14ac:dyDescent="0.35">
      <c r="A9" s="18" t="s">
        <v>830</v>
      </c>
      <c r="B9" s="19" t="s">
        <v>831</v>
      </c>
      <c r="C9" s="19" t="s">
        <v>832</v>
      </c>
      <c r="D9" s="19" t="s">
        <v>833</v>
      </c>
      <c r="E9" s="19" t="s">
        <v>813</v>
      </c>
      <c r="F9" s="19" t="s">
        <v>710</v>
      </c>
      <c r="G9" s="33"/>
      <c r="H9" s="33"/>
      <c r="I9" s="18" t="str">
        <f t="shared" si="0"/>
        <v/>
      </c>
      <c r="J9" s="26" t="s">
        <v>581</v>
      </c>
      <c r="K9" s="28" t="s">
        <v>238</v>
      </c>
      <c r="L9" s="28"/>
      <c r="M9" s="27"/>
      <c r="N9" s="27"/>
    </row>
    <row r="10" spans="1:14" ht="44" customHeight="1" x14ac:dyDescent="0.35">
      <c r="A10" s="21" t="s">
        <v>834</v>
      </c>
      <c r="B10" s="22" t="s">
        <v>835</v>
      </c>
      <c r="C10" s="22" t="s">
        <v>836</v>
      </c>
      <c r="D10" s="22" t="s">
        <v>837</v>
      </c>
      <c r="E10" s="22" t="s">
        <v>813</v>
      </c>
      <c r="F10" s="22" t="s">
        <v>714</v>
      </c>
      <c r="G10" s="34"/>
      <c r="H10" s="34"/>
      <c r="I10" s="21" t="str">
        <f t="shared" si="0"/>
        <v/>
      </c>
      <c r="J10" s="30" t="s">
        <v>581</v>
      </c>
      <c r="K10" s="32" t="s">
        <v>238</v>
      </c>
      <c r="L10" s="32"/>
      <c r="M10" s="31"/>
      <c r="N10" s="31"/>
    </row>
    <row r="11" spans="1:14" ht="44" customHeight="1" x14ac:dyDescent="0.35">
      <c r="A11" s="18" t="s">
        <v>838</v>
      </c>
      <c r="B11" s="19" t="s">
        <v>839</v>
      </c>
      <c r="C11" s="19" t="s">
        <v>840</v>
      </c>
      <c r="D11" s="19" t="s">
        <v>841</v>
      </c>
      <c r="E11" s="19" t="s">
        <v>813</v>
      </c>
      <c r="F11" s="19" t="s">
        <v>842</v>
      </c>
      <c r="G11" s="33"/>
      <c r="H11" s="33"/>
      <c r="I11" s="18" t="str">
        <f t="shared" si="0"/>
        <v/>
      </c>
      <c r="J11" s="26" t="s">
        <v>581</v>
      </c>
      <c r="K11" s="28" t="s">
        <v>238</v>
      </c>
      <c r="L11" s="28"/>
      <c r="M11" s="27"/>
      <c r="N11" s="27"/>
    </row>
    <row r="12" spans="1:14" ht="44" customHeight="1" x14ac:dyDescent="0.35">
      <c r="A12" s="21" t="s">
        <v>843</v>
      </c>
      <c r="B12" s="22" t="s">
        <v>844</v>
      </c>
      <c r="C12" s="22" t="s">
        <v>845</v>
      </c>
      <c r="D12" s="22" t="s">
        <v>846</v>
      </c>
      <c r="E12" s="22" t="s">
        <v>813</v>
      </c>
      <c r="F12" s="22" t="s">
        <v>847</v>
      </c>
      <c r="G12" s="34"/>
      <c r="H12" s="34"/>
      <c r="I12" s="21" t="str">
        <f t="shared" si="0"/>
        <v/>
      </c>
      <c r="J12" s="30" t="s">
        <v>581</v>
      </c>
      <c r="K12" s="32" t="s">
        <v>238</v>
      </c>
      <c r="L12" s="32"/>
      <c r="M12" s="31"/>
      <c r="N12" s="31"/>
    </row>
    <row r="13" spans="1:14" ht="44" customHeight="1" x14ac:dyDescent="0.35">
      <c r="A13" s="18" t="s">
        <v>848</v>
      </c>
      <c r="B13" s="19" t="s">
        <v>849</v>
      </c>
      <c r="C13" s="19" t="s">
        <v>850</v>
      </c>
      <c r="D13" s="19" t="s">
        <v>851</v>
      </c>
      <c r="E13" s="19" t="s">
        <v>813</v>
      </c>
      <c r="F13" s="19" t="s">
        <v>852</v>
      </c>
      <c r="G13" s="33"/>
      <c r="H13" s="33"/>
      <c r="I13" s="18" t="str">
        <f t="shared" si="0"/>
        <v/>
      </c>
      <c r="J13" s="26" t="s">
        <v>581</v>
      </c>
      <c r="K13" s="28" t="s">
        <v>238</v>
      </c>
      <c r="L13" s="28"/>
      <c r="M13" s="27"/>
      <c r="N13" s="27"/>
    </row>
    <row r="14" spans="1:14" ht="44" customHeight="1" x14ac:dyDescent="0.35">
      <c r="A14" s="21" t="s">
        <v>853</v>
      </c>
      <c r="B14" s="22" t="s">
        <v>854</v>
      </c>
      <c r="C14" s="22" t="s">
        <v>855</v>
      </c>
      <c r="D14" s="22" t="s">
        <v>856</v>
      </c>
      <c r="E14" s="22" t="s">
        <v>813</v>
      </c>
      <c r="F14" s="22" t="s">
        <v>857</v>
      </c>
      <c r="G14" s="34"/>
      <c r="H14" s="34"/>
      <c r="I14" s="21" t="str">
        <f t="shared" si="0"/>
        <v/>
      </c>
      <c r="J14" s="30" t="s">
        <v>581</v>
      </c>
      <c r="K14" s="32" t="s">
        <v>238</v>
      </c>
      <c r="L14" s="32"/>
      <c r="M14" s="31"/>
      <c r="N14" s="31"/>
    </row>
    <row r="15" spans="1:14" ht="44" customHeight="1" x14ac:dyDescent="0.35">
      <c r="A15" s="18" t="s">
        <v>858</v>
      </c>
      <c r="B15" s="19" t="s">
        <v>859</v>
      </c>
      <c r="C15" s="19" t="s">
        <v>860</v>
      </c>
      <c r="D15" s="19" t="s">
        <v>861</v>
      </c>
      <c r="E15" s="19" t="s">
        <v>813</v>
      </c>
      <c r="F15" s="19" t="s">
        <v>688</v>
      </c>
      <c r="G15" s="33"/>
      <c r="H15" s="33"/>
      <c r="I15" s="18" t="str">
        <f t="shared" si="0"/>
        <v/>
      </c>
      <c r="J15" s="26" t="s">
        <v>581</v>
      </c>
      <c r="K15" s="28" t="s">
        <v>238</v>
      </c>
      <c r="L15" s="28"/>
      <c r="M15" s="27"/>
      <c r="N15" s="27"/>
    </row>
    <row r="16" spans="1:14" ht="44" customHeight="1" x14ac:dyDescent="0.35">
      <c r="A16" s="21" t="s">
        <v>862</v>
      </c>
      <c r="B16" s="22" t="s">
        <v>863</v>
      </c>
      <c r="C16" s="22" t="s">
        <v>864</v>
      </c>
      <c r="D16" s="22" t="s">
        <v>865</v>
      </c>
      <c r="E16" s="22" t="s">
        <v>813</v>
      </c>
      <c r="F16" s="22" t="s">
        <v>866</v>
      </c>
      <c r="G16" s="34"/>
      <c r="H16" s="34"/>
      <c r="I16" s="21" t="str">
        <f t="shared" si="0"/>
        <v/>
      </c>
      <c r="J16" s="30" t="s">
        <v>581</v>
      </c>
      <c r="K16" s="32" t="s">
        <v>238</v>
      </c>
      <c r="L16" s="32"/>
      <c r="M16" s="31"/>
      <c r="N16" s="31"/>
    </row>
    <row r="17" spans="1:14" ht="44" customHeight="1" x14ac:dyDescent="0.35">
      <c r="A17" s="18" t="s">
        <v>867</v>
      </c>
      <c r="B17" s="19" t="s">
        <v>868</v>
      </c>
      <c r="C17" s="19" t="s">
        <v>869</v>
      </c>
      <c r="D17" s="19" t="s">
        <v>870</v>
      </c>
      <c r="E17" s="19" t="s">
        <v>813</v>
      </c>
      <c r="F17" s="19" t="s">
        <v>736</v>
      </c>
      <c r="G17" s="33"/>
      <c r="H17" s="33"/>
      <c r="I17" s="18" t="str">
        <f t="shared" si="0"/>
        <v/>
      </c>
      <c r="J17" s="26" t="s">
        <v>581</v>
      </c>
      <c r="K17" s="28" t="s">
        <v>238</v>
      </c>
      <c r="L17" s="28"/>
      <c r="M17" s="27"/>
      <c r="N17" s="27"/>
    </row>
    <row r="18" spans="1:14" ht="44" customHeight="1" x14ac:dyDescent="0.35">
      <c r="A18" s="21" t="s">
        <v>871</v>
      </c>
      <c r="B18" s="22" t="s">
        <v>872</v>
      </c>
      <c r="C18" s="22" t="s">
        <v>873</v>
      </c>
      <c r="D18" s="22" t="s">
        <v>874</v>
      </c>
      <c r="E18" s="22" t="s">
        <v>813</v>
      </c>
      <c r="F18" s="22" t="s">
        <v>875</v>
      </c>
      <c r="G18" s="34"/>
      <c r="H18" s="34"/>
      <c r="I18" s="21" t="str">
        <f t="shared" si="0"/>
        <v/>
      </c>
      <c r="J18" s="30" t="s">
        <v>581</v>
      </c>
      <c r="K18" s="32" t="s">
        <v>238</v>
      </c>
      <c r="L18" s="32"/>
      <c r="M18" s="31"/>
      <c r="N18" s="31"/>
    </row>
    <row r="19" spans="1:14" ht="44" customHeight="1" x14ac:dyDescent="0.35">
      <c r="A19" s="18" t="s">
        <v>876</v>
      </c>
      <c r="B19" s="19" t="s">
        <v>877</v>
      </c>
      <c r="C19" s="19" t="s">
        <v>878</v>
      </c>
      <c r="D19" s="19" t="s">
        <v>879</v>
      </c>
      <c r="E19" s="19" t="s">
        <v>813</v>
      </c>
      <c r="F19" s="19" t="s">
        <v>680</v>
      </c>
      <c r="G19" s="33"/>
      <c r="H19" s="33"/>
      <c r="I19" s="18" t="str">
        <f t="shared" si="0"/>
        <v/>
      </c>
      <c r="J19" s="26" t="s">
        <v>581</v>
      </c>
      <c r="K19" s="28" t="s">
        <v>238</v>
      </c>
      <c r="L19" s="28"/>
      <c r="M19" s="27"/>
      <c r="N19" s="27"/>
    </row>
    <row r="20" spans="1:14" ht="44" customHeight="1" x14ac:dyDescent="0.35">
      <c r="A20" s="21" t="s">
        <v>880</v>
      </c>
      <c r="B20" s="22" t="s">
        <v>881</v>
      </c>
      <c r="C20" s="22" t="s">
        <v>882</v>
      </c>
      <c r="D20" s="22" t="s">
        <v>883</v>
      </c>
      <c r="E20" s="22" t="s">
        <v>813</v>
      </c>
      <c r="F20" s="22" t="s">
        <v>884</v>
      </c>
      <c r="G20" s="34"/>
      <c r="H20" s="34"/>
      <c r="I20" s="21" t="str">
        <f t="shared" si="0"/>
        <v/>
      </c>
      <c r="J20" s="30" t="s">
        <v>581</v>
      </c>
      <c r="K20" s="32" t="s">
        <v>238</v>
      </c>
      <c r="L20" s="32"/>
      <c r="M20" s="31"/>
      <c r="N20" s="31"/>
    </row>
    <row r="21" spans="1:14" ht="30" customHeight="1" x14ac:dyDescent="0.35">
      <c r="A21" s="18" t="s">
        <v>885</v>
      </c>
      <c r="B21" s="19"/>
      <c r="C21" s="19"/>
      <c r="D21" s="19"/>
      <c r="E21" s="19"/>
      <c r="F21" s="19"/>
      <c r="G21" s="18"/>
      <c r="H21" s="18"/>
      <c r="I21" s="18" t="str">
        <f t="shared" si="0"/>
        <v/>
      </c>
      <c r="J21" s="18"/>
      <c r="K21" s="18"/>
      <c r="L21" s="18"/>
      <c r="M21" s="19"/>
      <c r="N21" s="19"/>
    </row>
    <row r="22" spans="1:14" ht="30" customHeight="1" x14ac:dyDescent="0.35">
      <c r="A22" s="18" t="s">
        <v>886</v>
      </c>
      <c r="B22" s="19"/>
      <c r="C22" s="19"/>
      <c r="D22" s="19"/>
      <c r="E22" s="19"/>
      <c r="F22" s="19"/>
      <c r="G22" s="18"/>
      <c r="H22" s="18"/>
      <c r="I22" s="18" t="str">
        <f t="shared" si="0"/>
        <v/>
      </c>
      <c r="J22" s="18"/>
      <c r="K22" s="18"/>
      <c r="L22" s="18"/>
      <c r="M22" s="19"/>
      <c r="N22" s="19"/>
    </row>
    <row r="23" spans="1:14" ht="30" customHeight="1" x14ac:dyDescent="0.35">
      <c r="A23" s="18" t="s">
        <v>887</v>
      </c>
      <c r="B23" s="19"/>
      <c r="C23" s="19"/>
      <c r="D23" s="19"/>
      <c r="E23" s="19"/>
      <c r="F23" s="19"/>
      <c r="G23" s="18"/>
      <c r="H23" s="18"/>
      <c r="I23" s="18" t="str">
        <f t="shared" si="0"/>
        <v/>
      </c>
      <c r="J23" s="18"/>
      <c r="K23" s="18"/>
      <c r="L23" s="18"/>
      <c r="M23" s="19"/>
      <c r="N23" s="19"/>
    </row>
    <row r="24" spans="1:14" ht="30" customHeight="1" x14ac:dyDescent="0.35">
      <c r="A24" s="18" t="s">
        <v>888</v>
      </c>
      <c r="B24" s="19"/>
      <c r="C24" s="19"/>
      <c r="D24" s="19"/>
      <c r="E24" s="19"/>
      <c r="F24" s="19"/>
      <c r="G24" s="18"/>
      <c r="H24" s="18"/>
      <c r="I24" s="18" t="str">
        <f t="shared" si="0"/>
        <v/>
      </c>
      <c r="J24" s="18"/>
      <c r="K24" s="18"/>
      <c r="L24" s="18"/>
      <c r="M24" s="19"/>
      <c r="N24" s="19"/>
    </row>
    <row r="25" spans="1:14" ht="30" customHeight="1" x14ac:dyDescent="0.35">
      <c r="A25" s="18" t="s">
        <v>889</v>
      </c>
      <c r="B25" s="19"/>
      <c r="C25" s="19"/>
      <c r="D25" s="19"/>
      <c r="E25" s="19"/>
      <c r="F25" s="19"/>
      <c r="G25" s="18"/>
      <c r="H25" s="18"/>
      <c r="I25" s="18" t="str">
        <f t="shared" si="0"/>
        <v/>
      </c>
      <c r="J25" s="18"/>
      <c r="K25" s="18"/>
      <c r="L25" s="18"/>
      <c r="M25" s="19"/>
      <c r="N25" s="19"/>
    </row>
    <row r="26" spans="1:14" ht="30" customHeight="1" x14ac:dyDescent="0.35">
      <c r="A26" s="18" t="s">
        <v>890</v>
      </c>
      <c r="B26" s="19"/>
      <c r="C26" s="19"/>
      <c r="D26" s="19"/>
      <c r="E26" s="19"/>
      <c r="F26" s="19"/>
      <c r="G26" s="18"/>
      <c r="H26" s="18"/>
      <c r="I26" s="18" t="str">
        <f t="shared" si="0"/>
        <v/>
      </c>
      <c r="J26" s="18"/>
      <c r="K26" s="18"/>
      <c r="L26" s="18"/>
      <c r="M26" s="19"/>
      <c r="N26" s="19"/>
    </row>
  </sheetData>
  <autoFilter ref="A4:N26" xr:uid="{00000000-0009-0000-0000-000006000000}"/>
  <mergeCells count="2">
    <mergeCell ref="A2:N2"/>
    <mergeCell ref="A1:N1"/>
  </mergeCells>
  <conditionalFormatting sqref="I5:I26">
    <cfRule type="expression" dxfId="61" priority="5">
      <formula>ISNUMBER(SEARCH("Within",I5))</formula>
    </cfRule>
    <cfRule type="expression" dxfId="60" priority="6">
      <formula>ISNUMBER(SEARCH("Exceeded",I5))</formula>
    </cfRule>
  </conditionalFormatting>
  <conditionalFormatting sqref="J5:J26">
    <cfRule type="expression" dxfId="59" priority="1">
      <formula>ISNUMBER(SEARCH("Pass",J5))</formula>
    </cfRule>
    <cfRule type="expression" dxfId="58" priority="2">
      <formula>ISNUMBER(SEARCH("Fail",J5))</formula>
    </cfRule>
    <cfRule type="expression" dxfId="57" priority="3">
      <formula>ISNUMBER(SEARCH("Blocked",J5))</formula>
    </cfRule>
    <cfRule type="expression" dxfId="56" priority="4">
      <formula>ISNUMBER(SEARCH("Not Tested",J5))</formula>
    </cfRule>
  </conditionalFormatting>
  <dataValidations count="1">
    <dataValidation type="list" allowBlank="1" showErrorMessage="1" errorTitle="Invalid Entry" error="Select a value from the list." sqref="J5:J26" xr:uid="{00000000-0002-0000-0600-000000000000}">
      <formula1>"Pass,Fail,Blocked,Not Tested,N/A"</formula1>
    </dataValidation>
  </dataValidations>
  <pageMargins left="0.75" right="0.75" top="1" bottom="1" header="0.5" footer="0.5"/>
  <pageSetup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030A0"/>
    <pageSetUpPr fitToPage="1"/>
  </sheetPr>
  <dimension ref="A1:L37"/>
  <sheetViews>
    <sheetView showGridLines="0" workbookViewId="0">
      <pane xSplit="3" ySplit="4" topLeftCell="D5" activePane="bottomRight" state="frozen"/>
      <selection pane="topRight"/>
      <selection pane="bottomLeft"/>
      <selection pane="bottomRight"/>
    </sheetView>
  </sheetViews>
  <sheetFormatPr defaultRowHeight="14.5" x14ac:dyDescent="0.35"/>
  <cols>
    <col min="1" max="1" width="10.7265625" customWidth="1"/>
    <col min="2" max="2" width="22" customWidth="1"/>
    <col min="3" max="3" width="28" customWidth="1"/>
    <col min="4" max="4" width="48" customWidth="1"/>
    <col min="5" max="5" width="36" customWidth="1"/>
    <col min="6" max="6" width="8" customWidth="1"/>
    <col min="7" max="7" width="8.453125" customWidth="1"/>
    <col min="8" max="8" width="10.7265625" customWidth="1"/>
    <col min="9" max="10" width="34" customWidth="1"/>
    <col min="11" max="11" width="14" customWidth="1"/>
    <col min="12" max="12" width="12" customWidth="1"/>
  </cols>
  <sheetData>
    <row r="1" spans="1:12" ht="32" customHeight="1" x14ac:dyDescent="0.35">
      <c r="A1" s="63" t="s">
        <v>891</v>
      </c>
      <c r="B1" s="54"/>
      <c r="C1" s="54"/>
      <c r="D1" s="54"/>
      <c r="E1" s="54"/>
      <c r="F1" s="54"/>
      <c r="G1" s="54"/>
      <c r="H1" s="54"/>
      <c r="I1" s="54"/>
      <c r="J1" s="54"/>
      <c r="K1" s="54"/>
      <c r="L1" s="54"/>
    </row>
    <row r="2" spans="1:12" ht="22" customHeight="1" x14ac:dyDescent="0.35">
      <c r="A2" s="64" t="s">
        <v>892</v>
      </c>
      <c r="B2" s="54"/>
      <c r="C2" s="54"/>
      <c r="D2" s="54"/>
      <c r="E2" s="54"/>
      <c r="F2" s="54"/>
      <c r="G2" s="54"/>
      <c r="H2" s="54"/>
      <c r="I2" s="54"/>
      <c r="J2" s="54"/>
      <c r="K2" s="54"/>
      <c r="L2" s="54"/>
    </row>
    <row r="4" spans="1:12" ht="34" customHeight="1" x14ac:dyDescent="0.35">
      <c r="A4" s="3" t="s">
        <v>217</v>
      </c>
      <c r="B4" s="3" t="s">
        <v>218</v>
      </c>
      <c r="C4" s="3" t="s">
        <v>219</v>
      </c>
      <c r="D4" s="3" t="s">
        <v>220</v>
      </c>
      <c r="E4" s="3" t="s">
        <v>221</v>
      </c>
      <c r="F4" s="3" t="s">
        <v>222</v>
      </c>
      <c r="G4" s="3" t="s">
        <v>223</v>
      </c>
      <c r="H4" s="3" t="s">
        <v>224</v>
      </c>
      <c r="I4" s="3" t="s">
        <v>225</v>
      </c>
      <c r="J4" s="3" t="s">
        <v>226</v>
      </c>
      <c r="K4" s="3" t="s">
        <v>227</v>
      </c>
      <c r="L4" s="3" t="s">
        <v>228</v>
      </c>
    </row>
    <row r="5" spans="1:12" ht="20" customHeight="1" x14ac:dyDescent="0.35">
      <c r="A5" s="65" t="s">
        <v>893</v>
      </c>
      <c r="B5" s="66"/>
      <c r="C5" s="66"/>
      <c r="D5" s="66"/>
      <c r="E5" s="66"/>
      <c r="F5" s="66"/>
      <c r="G5" s="66"/>
      <c r="H5" s="66"/>
      <c r="I5" s="66"/>
      <c r="J5" s="66"/>
      <c r="K5" s="66"/>
      <c r="L5" s="66"/>
    </row>
    <row r="6" spans="1:12" ht="42" customHeight="1" x14ac:dyDescent="0.35">
      <c r="A6" s="18" t="s">
        <v>894</v>
      </c>
      <c r="B6" s="19" t="s">
        <v>895</v>
      </c>
      <c r="C6" s="19" t="s">
        <v>896</v>
      </c>
      <c r="D6" s="19" t="s">
        <v>897</v>
      </c>
      <c r="E6" s="19" t="s">
        <v>898</v>
      </c>
      <c r="F6" s="18" t="s">
        <v>186</v>
      </c>
      <c r="G6" s="25"/>
      <c r="H6" s="26" t="str">
        <f t="shared" ref="H6:H13" si="0">IF(G6="","",IF(G6&lt;=RED_MAX,"RED",IF(G6&lt;=AMBER_MAX,"AMBER","GREEN")))</f>
        <v/>
      </c>
      <c r="I6" s="27" t="s">
        <v>235</v>
      </c>
      <c r="J6" s="27" t="s">
        <v>236</v>
      </c>
      <c r="K6" s="28" t="s">
        <v>237</v>
      </c>
      <c r="L6" s="28" t="s">
        <v>238</v>
      </c>
    </row>
    <row r="7" spans="1:12" ht="44" customHeight="1" x14ac:dyDescent="0.35">
      <c r="A7" s="21" t="s">
        <v>899</v>
      </c>
      <c r="B7" s="22" t="s">
        <v>895</v>
      </c>
      <c r="C7" s="22" t="s">
        <v>900</v>
      </c>
      <c r="D7" s="22" t="s">
        <v>901</v>
      </c>
      <c r="E7" s="22" t="s">
        <v>902</v>
      </c>
      <c r="F7" s="21" t="s">
        <v>186</v>
      </c>
      <c r="G7" s="29"/>
      <c r="H7" s="30" t="str">
        <f t="shared" si="0"/>
        <v/>
      </c>
      <c r="I7" s="31" t="s">
        <v>235</v>
      </c>
      <c r="J7" s="31" t="s">
        <v>236</v>
      </c>
      <c r="K7" s="32" t="s">
        <v>237</v>
      </c>
      <c r="L7" s="32" t="s">
        <v>238</v>
      </c>
    </row>
    <row r="8" spans="1:12" ht="44" customHeight="1" x14ac:dyDescent="0.35">
      <c r="A8" s="18" t="s">
        <v>903</v>
      </c>
      <c r="B8" s="19" t="s">
        <v>895</v>
      </c>
      <c r="C8" s="19" t="s">
        <v>904</v>
      </c>
      <c r="D8" s="19" t="s">
        <v>905</v>
      </c>
      <c r="E8" s="19" t="s">
        <v>906</v>
      </c>
      <c r="F8" s="18" t="s">
        <v>186</v>
      </c>
      <c r="G8" s="25"/>
      <c r="H8" s="26" t="str">
        <f t="shared" si="0"/>
        <v/>
      </c>
      <c r="I8" s="27" t="s">
        <v>235</v>
      </c>
      <c r="J8" s="27" t="s">
        <v>236</v>
      </c>
      <c r="K8" s="28" t="s">
        <v>237</v>
      </c>
      <c r="L8" s="28" t="s">
        <v>238</v>
      </c>
    </row>
    <row r="9" spans="1:12" ht="42" customHeight="1" x14ac:dyDescent="0.35">
      <c r="A9" s="21" t="s">
        <v>907</v>
      </c>
      <c r="B9" s="22" t="s">
        <v>895</v>
      </c>
      <c r="C9" s="22" t="s">
        <v>908</v>
      </c>
      <c r="D9" s="22" t="s">
        <v>909</v>
      </c>
      <c r="E9" s="22" t="s">
        <v>910</v>
      </c>
      <c r="F9" s="21" t="s">
        <v>186</v>
      </c>
      <c r="G9" s="29"/>
      <c r="H9" s="30" t="str">
        <f t="shared" si="0"/>
        <v/>
      </c>
      <c r="I9" s="31" t="s">
        <v>235</v>
      </c>
      <c r="J9" s="31" t="s">
        <v>236</v>
      </c>
      <c r="K9" s="32" t="s">
        <v>237</v>
      </c>
      <c r="L9" s="32" t="s">
        <v>238</v>
      </c>
    </row>
    <row r="10" spans="1:12" ht="44" customHeight="1" x14ac:dyDescent="0.35">
      <c r="A10" s="18" t="s">
        <v>911</v>
      </c>
      <c r="B10" s="19" t="s">
        <v>895</v>
      </c>
      <c r="C10" s="19" t="s">
        <v>912</v>
      </c>
      <c r="D10" s="19" t="s">
        <v>913</v>
      </c>
      <c r="E10" s="19" t="s">
        <v>914</v>
      </c>
      <c r="F10" s="18" t="s">
        <v>186</v>
      </c>
      <c r="G10" s="25"/>
      <c r="H10" s="26" t="str">
        <f t="shared" si="0"/>
        <v/>
      </c>
      <c r="I10" s="27" t="s">
        <v>235</v>
      </c>
      <c r="J10" s="27" t="s">
        <v>236</v>
      </c>
      <c r="K10" s="28" t="s">
        <v>237</v>
      </c>
      <c r="L10" s="28" t="s">
        <v>238</v>
      </c>
    </row>
    <row r="11" spans="1:12" ht="42" customHeight="1" x14ac:dyDescent="0.35">
      <c r="A11" s="21" t="s">
        <v>915</v>
      </c>
      <c r="B11" s="22" t="s">
        <v>895</v>
      </c>
      <c r="C11" s="22" t="s">
        <v>916</v>
      </c>
      <c r="D11" s="22" t="s">
        <v>917</v>
      </c>
      <c r="E11" s="22" t="s">
        <v>918</v>
      </c>
      <c r="F11" s="21" t="s">
        <v>186</v>
      </c>
      <c r="G11" s="29"/>
      <c r="H11" s="30" t="str">
        <f t="shared" si="0"/>
        <v/>
      </c>
      <c r="I11" s="31" t="s">
        <v>235</v>
      </c>
      <c r="J11" s="31" t="s">
        <v>236</v>
      </c>
      <c r="K11" s="32" t="s">
        <v>237</v>
      </c>
      <c r="L11" s="32" t="s">
        <v>238</v>
      </c>
    </row>
    <row r="12" spans="1:12" ht="44" customHeight="1" x14ac:dyDescent="0.35">
      <c r="A12" s="18" t="s">
        <v>919</v>
      </c>
      <c r="B12" s="19" t="s">
        <v>895</v>
      </c>
      <c r="C12" s="19" t="s">
        <v>920</v>
      </c>
      <c r="D12" s="19" t="s">
        <v>921</v>
      </c>
      <c r="E12" s="19" t="s">
        <v>922</v>
      </c>
      <c r="F12" s="18" t="s">
        <v>186</v>
      </c>
      <c r="G12" s="25"/>
      <c r="H12" s="26" t="str">
        <f t="shared" si="0"/>
        <v/>
      </c>
      <c r="I12" s="27" t="s">
        <v>235</v>
      </c>
      <c r="J12" s="27" t="s">
        <v>236</v>
      </c>
      <c r="K12" s="28" t="s">
        <v>237</v>
      </c>
      <c r="L12" s="28" t="s">
        <v>238</v>
      </c>
    </row>
    <row r="13" spans="1:12" ht="42" customHeight="1" x14ac:dyDescent="0.35">
      <c r="A13" s="21" t="s">
        <v>923</v>
      </c>
      <c r="B13" s="22" t="s">
        <v>895</v>
      </c>
      <c r="C13" s="22" t="s">
        <v>924</v>
      </c>
      <c r="D13" s="22" t="s">
        <v>925</v>
      </c>
      <c r="E13" s="22" t="s">
        <v>926</v>
      </c>
      <c r="F13" s="21" t="s">
        <v>186</v>
      </c>
      <c r="G13" s="29"/>
      <c r="H13" s="30" t="str">
        <f t="shared" si="0"/>
        <v/>
      </c>
      <c r="I13" s="31" t="s">
        <v>235</v>
      </c>
      <c r="J13" s="31" t="s">
        <v>236</v>
      </c>
      <c r="K13" s="32" t="s">
        <v>237</v>
      </c>
      <c r="L13" s="32" t="s">
        <v>238</v>
      </c>
    </row>
    <row r="14" spans="1:12" ht="20" customHeight="1" x14ac:dyDescent="0.35">
      <c r="A14" s="65" t="s">
        <v>927</v>
      </c>
      <c r="B14" s="66"/>
      <c r="C14" s="66"/>
      <c r="D14" s="66"/>
      <c r="E14" s="66"/>
      <c r="F14" s="66"/>
      <c r="G14" s="66"/>
      <c r="H14" s="66"/>
      <c r="I14" s="66"/>
      <c r="J14" s="66"/>
      <c r="K14" s="66"/>
      <c r="L14" s="66"/>
    </row>
    <row r="15" spans="1:12" ht="44" customHeight="1" x14ac:dyDescent="0.35">
      <c r="A15" s="18" t="s">
        <v>928</v>
      </c>
      <c r="B15" s="19" t="s">
        <v>929</v>
      </c>
      <c r="C15" s="19" t="s">
        <v>930</v>
      </c>
      <c r="D15" s="19" t="s">
        <v>931</v>
      </c>
      <c r="E15" s="19" t="s">
        <v>932</v>
      </c>
      <c r="F15" s="18" t="s">
        <v>190</v>
      </c>
      <c r="G15" s="25"/>
      <c r="H15" s="26" t="str">
        <f t="shared" ref="H15:H20" si="1">IF(G15="","",IF(G15&lt;=RED_MAX,"RED",IF(G15&lt;=AMBER_MAX,"AMBER","GREEN")))</f>
        <v/>
      </c>
      <c r="I15" s="27" t="s">
        <v>235</v>
      </c>
      <c r="J15" s="27" t="s">
        <v>236</v>
      </c>
      <c r="K15" s="28" t="s">
        <v>237</v>
      </c>
      <c r="L15" s="28" t="s">
        <v>238</v>
      </c>
    </row>
    <row r="16" spans="1:12" ht="42" customHeight="1" x14ac:dyDescent="0.35">
      <c r="A16" s="21" t="s">
        <v>933</v>
      </c>
      <c r="B16" s="22" t="s">
        <v>929</v>
      </c>
      <c r="C16" s="22" t="s">
        <v>934</v>
      </c>
      <c r="D16" s="22" t="s">
        <v>935</v>
      </c>
      <c r="E16" s="22" t="s">
        <v>936</v>
      </c>
      <c r="F16" s="21" t="s">
        <v>190</v>
      </c>
      <c r="G16" s="29"/>
      <c r="H16" s="30" t="str">
        <f t="shared" si="1"/>
        <v/>
      </c>
      <c r="I16" s="31" t="s">
        <v>235</v>
      </c>
      <c r="J16" s="31" t="s">
        <v>236</v>
      </c>
      <c r="K16" s="32" t="s">
        <v>237</v>
      </c>
      <c r="L16" s="32" t="s">
        <v>238</v>
      </c>
    </row>
    <row r="17" spans="1:12" ht="44" customHeight="1" x14ac:dyDescent="0.35">
      <c r="A17" s="18" t="s">
        <v>937</v>
      </c>
      <c r="B17" s="19" t="s">
        <v>929</v>
      </c>
      <c r="C17" s="19" t="s">
        <v>938</v>
      </c>
      <c r="D17" s="19" t="s">
        <v>939</v>
      </c>
      <c r="E17" s="19" t="s">
        <v>940</v>
      </c>
      <c r="F17" s="18" t="s">
        <v>190</v>
      </c>
      <c r="G17" s="25"/>
      <c r="H17" s="26" t="str">
        <f t="shared" si="1"/>
        <v/>
      </c>
      <c r="I17" s="27" t="s">
        <v>235</v>
      </c>
      <c r="J17" s="27" t="s">
        <v>236</v>
      </c>
      <c r="K17" s="28" t="s">
        <v>237</v>
      </c>
      <c r="L17" s="28" t="s">
        <v>238</v>
      </c>
    </row>
    <row r="18" spans="1:12" ht="44" customHeight="1" x14ac:dyDescent="0.35">
      <c r="A18" s="21" t="s">
        <v>941</v>
      </c>
      <c r="B18" s="22" t="s">
        <v>929</v>
      </c>
      <c r="C18" s="22" t="s">
        <v>942</v>
      </c>
      <c r="D18" s="22" t="s">
        <v>943</v>
      </c>
      <c r="E18" s="22" t="s">
        <v>944</v>
      </c>
      <c r="F18" s="21" t="s">
        <v>190</v>
      </c>
      <c r="G18" s="29"/>
      <c r="H18" s="30" t="str">
        <f t="shared" si="1"/>
        <v/>
      </c>
      <c r="I18" s="31" t="s">
        <v>235</v>
      </c>
      <c r="J18" s="31" t="s">
        <v>236</v>
      </c>
      <c r="K18" s="32" t="s">
        <v>237</v>
      </c>
      <c r="L18" s="32" t="s">
        <v>238</v>
      </c>
    </row>
    <row r="19" spans="1:12" ht="42" customHeight="1" x14ac:dyDescent="0.35">
      <c r="A19" s="18" t="s">
        <v>945</v>
      </c>
      <c r="B19" s="19" t="s">
        <v>929</v>
      </c>
      <c r="C19" s="19" t="s">
        <v>946</v>
      </c>
      <c r="D19" s="19" t="s">
        <v>947</v>
      </c>
      <c r="E19" s="19" t="s">
        <v>948</v>
      </c>
      <c r="F19" s="18" t="s">
        <v>190</v>
      </c>
      <c r="G19" s="25"/>
      <c r="H19" s="26" t="str">
        <f t="shared" si="1"/>
        <v/>
      </c>
      <c r="I19" s="27" t="s">
        <v>235</v>
      </c>
      <c r="J19" s="27" t="s">
        <v>236</v>
      </c>
      <c r="K19" s="28" t="s">
        <v>237</v>
      </c>
      <c r="L19" s="28" t="s">
        <v>238</v>
      </c>
    </row>
    <row r="20" spans="1:12" ht="44" customHeight="1" x14ac:dyDescent="0.35">
      <c r="A20" s="21" t="s">
        <v>949</v>
      </c>
      <c r="B20" s="22" t="s">
        <v>929</v>
      </c>
      <c r="C20" s="22" t="s">
        <v>950</v>
      </c>
      <c r="D20" s="22" t="s">
        <v>951</v>
      </c>
      <c r="E20" s="22" t="s">
        <v>952</v>
      </c>
      <c r="F20" s="21" t="s">
        <v>190</v>
      </c>
      <c r="G20" s="29"/>
      <c r="H20" s="30" t="str">
        <f t="shared" si="1"/>
        <v/>
      </c>
      <c r="I20" s="31" t="s">
        <v>235</v>
      </c>
      <c r="J20" s="31" t="s">
        <v>236</v>
      </c>
      <c r="K20" s="32" t="s">
        <v>237</v>
      </c>
      <c r="L20" s="32" t="s">
        <v>238</v>
      </c>
    </row>
    <row r="21" spans="1:12" ht="20" customHeight="1" x14ac:dyDescent="0.35">
      <c r="A21" s="65" t="s">
        <v>953</v>
      </c>
      <c r="B21" s="66"/>
      <c r="C21" s="66"/>
      <c r="D21" s="66"/>
      <c r="E21" s="66"/>
      <c r="F21" s="66"/>
      <c r="G21" s="66"/>
      <c r="H21" s="66"/>
      <c r="I21" s="66"/>
      <c r="J21" s="66"/>
      <c r="K21" s="66"/>
      <c r="L21" s="66"/>
    </row>
    <row r="22" spans="1:12" ht="44" customHeight="1" x14ac:dyDescent="0.35">
      <c r="A22" s="18" t="s">
        <v>954</v>
      </c>
      <c r="B22" s="19" t="s">
        <v>955</v>
      </c>
      <c r="C22" s="19" t="s">
        <v>956</v>
      </c>
      <c r="D22" s="19" t="s">
        <v>957</v>
      </c>
      <c r="E22" s="19" t="s">
        <v>958</v>
      </c>
      <c r="F22" s="18" t="s">
        <v>192</v>
      </c>
      <c r="G22" s="25"/>
      <c r="H22" s="26" t="str">
        <f>IF(G22="","",IF(G22&lt;=RED_MAX,"RED",IF(G22&lt;=AMBER_MAX,"AMBER","GREEN")))</f>
        <v/>
      </c>
      <c r="I22" s="27" t="s">
        <v>235</v>
      </c>
      <c r="J22" s="27" t="s">
        <v>236</v>
      </c>
      <c r="K22" s="28" t="s">
        <v>237</v>
      </c>
      <c r="L22" s="28" t="s">
        <v>238</v>
      </c>
    </row>
    <row r="23" spans="1:12" ht="42" customHeight="1" x14ac:dyDescent="0.35">
      <c r="A23" s="21" t="s">
        <v>959</v>
      </c>
      <c r="B23" s="22" t="s">
        <v>955</v>
      </c>
      <c r="C23" s="22" t="s">
        <v>960</v>
      </c>
      <c r="D23" s="22" t="s">
        <v>961</v>
      </c>
      <c r="E23" s="22" t="s">
        <v>962</v>
      </c>
      <c r="F23" s="21" t="s">
        <v>192</v>
      </c>
      <c r="G23" s="29"/>
      <c r="H23" s="30" t="str">
        <f>IF(G23="","",IF(G23&lt;=RED_MAX,"RED",IF(G23&lt;=AMBER_MAX,"AMBER","GREEN")))</f>
        <v/>
      </c>
      <c r="I23" s="31" t="s">
        <v>235</v>
      </c>
      <c r="J23" s="31" t="s">
        <v>236</v>
      </c>
      <c r="K23" s="32" t="s">
        <v>237</v>
      </c>
      <c r="L23" s="32" t="s">
        <v>238</v>
      </c>
    </row>
    <row r="24" spans="1:12" ht="42" customHeight="1" x14ac:dyDescent="0.35">
      <c r="A24" s="18" t="s">
        <v>963</v>
      </c>
      <c r="B24" s="19" t="s">
        <v>955</v>
      </c>
      <c r="C24" s="19" t="s">
        <v>964</v>
      </c>
      <c r="D24" s="19" t="s">
        <v>965</v>
      </c>
      <c r="E24" s="19" t="s">
        <v>966</v>
      </c>
      <c r="F24" s="18" t="s">
        <v>192</v>
      </c>
      <c r="G24" s="25"/>
      <c r="H24" s="26" t="str">
        <f>IF(G24="","",IF(G24&lt;=RED_MAX,"RED",IF(G24&lt;=AMBER_MAX,"AMBER","GREEN")))</f>
        <v/>
      </c>
      <c r="I24" s="27" t="s">
        <v>235</v>
      </c>
      <c r="J24" s="27" t="s">
        <v>236</v>
      </c>
      <c r="K24" s="28" t="s">
        <v>237</v>
      </c>
      <c r="L24" s="28" t="s">
        <v>238</v>
      </c>
    </row>
    <row r="25" spans="1:12" ht="44" customHeight="1" x14ac:dyDescent="0.35">
      <c r="A25" s="21" t="s">
        <v>967</v>
      </c>
      <c r="B25" s="22" t="s">
        <v>955</v>
      </c>
      <c r="C25" s="22" t="s">
        <v>968</v>
      </c>
      <c r="D25" s="22" t="s">
        <v>969</v>
      </c>
      <c r="E25" s="22" t="s">
        <v>970</v>
      </c>
      <c r="F25" s="21" t="s">
        <v>192</v>
      </c>
      <c r="G25" s="29"/>
      <c r="H25" s="30" t="str">
        <f>IF(G25="","",IF(G25&lt;=RED_MAX,"RED",IF(G25&lt;=AMBER_MAX,"AMBER","GREEN")))</f>
        <v/>
      </c>
      <c r="I25" s="31" t="s">
        <v>235</v>
      </c>
      <c r="J25" s="31" t="s">
        <v>236</v>
      </c>
      <c r="K25" s="32" t="s">
        <v>237</v>
      </c>
      <c r="L25" s="32" t="s">
        <v>238</v>
      </c>
    </row>
    <row r="26" spans="1:12" ht="42" customHeight="1" x14ac:dyDescent="0.35">
      <c r="A26" s="18" t="s">
        <v>971</v>
      </c>
      <c r="B26" s="19" t="s">
        <v>955</v>
      </c>
      <c r="C26" s="19" t="s">
        <v>972</v>
      </c>
      <c r="D26" s="19" t="s">
        <v>973</v>
      </c>
      <c r="E26" s="19" t="s">
        <v>974</v>
      </c>
      <c r="F26" s="18" t="s">
        <v>192</v>
      </c>
      <c r="G26" s="25"/>
      <c r="H26" s="26" t="str">
        <f>IF(G26="","",IF(G26&lt;=RED_MAX,"RED",IF(G26&lt;=AMBER_MAX,"AMBER","GREEN")))</f>
        <v/>
      </c>
      <c r="I26" s="27" t="s">
        <v>235</v>
      </c>
      <c r="J26" s="27" t="s">
        <v>236</v>
      </c>
      <c r="K26" s="28" t="s">
        <v>237</v>
      </c>
      <c r="L26" s="28" t="s">
        <v>238</v>
      </c>
    </row>
    <row r="27" spans="1:12" ht="20" customHeight="1" x14ac:dyDescent="0.35">
      <c r="A27" s="65" t="s">
        <v>975</v>
      </c>
      <c r="B27" s="66"/>
      <c r="C27" s="66"/>
      <c r="D27" s="66"/>
      <c r="E27" s="66"/>
      <c r="F27" s="66"/>
      <c r="G27" s="66"/>
      <c r="H27" s="66"/>
      <c r="I27" s="66"/>
      <c r="J27" s="66"/>
      <c r="K27" s="66"/>
      <c r="L27" s="66"/>
    </row>
    <row r="28" spans="1:12" ht="44" customHeight="1" x14ac:dyDescent="0.35">
      <c r="A28" s="21" t="s">
        <v>976</v>
      </c>
      <c r="B28" s="22" t="s">
        <v>977</v>
      </c>
      <c r="C28" s="22" t="s">
        <v>978</v>
      </c>
      <c r="D28" s="22" t="s">
        <v>979</v>
      </c>
      <c r="E28" s="22" t="s">
        <v>980</v>
      </c>
      <c r="F28" s="21" t="s">
        <v>194</v>
      </c>
      <c r="G28" s="29"/>
      <c r="H28" s="30" t="str">
        <f t="shared" ref="H28:H37" si="2">IF(G28="","",IF(G28&lt;=RED_MAX,"RED",IF(G28&lt;=AMBER_MAX,"AMBER","GREEN")))</f>
        <v/>
      </c>
      <c r="I28" s="31" t="s">
        <v>235</v>
      </c>
      <c r="J28" s="31" t="s">
        <v>236</v>
      </c>
      <c r="K28" s="32" t="s">
        <v>237</v>
      </c>
      <c r="L28" s="32" t="s">
        <v>238</v>
      </c>
    </row>
    <row r="29" spans="1:12" ht="44" customHeight="1" x14ac:dyDescent="0.35">
      <c r="A29" s="18" t="s">
        <v>981</v>
      </c>
      <c r="B29" s="19" t="s">
        <v>977</v>
      </c>
      <c r="C29" s="19" t="s">
        <v>982</v>
      </c>
      <c r="D29" s="19" t="s">
        <v>983</v>
      </c>
      <c r="E29" s="19" t="s">
        <v>984</v>
      </c>
      <c r="F29" s="18" t="s">
        <v>194</v>
      </c>
      <c r="G29" s="25"/>
      <c r="H29" s="26" t="str">
        <f t="shared" si="2"/>
        <v/>
      </c>
      <c r="I29" s="27" t="s">
        <v>235</v>
      </c>
      <c r="J29" s="27" t="s">
        <v>236</v>
      </c>
      <c r="K29" s="28" t="s">
        <v>237</v>
      </c>
      <c r="L29" s="28" t="s">
        <v>238</v>
      </c>
    </row>
    <row r="30" spans="1:12" ht="44" customHeight="1" x14ac:dyDescent="0.35">
      <c r="A30" s="21" t="s">
        <v>985</v>
      </c>
      <c r="B30" s="22" t="s">
        <v>977</v>
      </c>
      <c r="C30" s="22" t="s">
        <v>986</v>
      </c>
      <c r="D30" s="22" t="s">
        <v>987</v>
      </c>
      <c r="E30" s="22" t="s">
        <v>988</v>
      </c>
      <c r="F30" s="21" t="s">
        <v>194</v>
      </c>
      <c r="G30" s="29"/>
      <c r="H30" s="30" t="str">
        <f t="shared" si="2"/>
        <v/>
      </c>
      <c r="I30" s="31" t="s">
        <v>235</v>
      </c>
      <c r="J30" s="31" t="s">
        <v>236</v>
      </c>
      <c r="K30" s="32" t="s">
        <v>237</v>
      </c>
      <c r="L30" s="32" t="s">
        <v>238</v>
      </c>
    </row>
    <row r="31" spans="1:12" ht="44" customHeight="1" x14ac:dyDescent="0.35">
      <c r="A31" s="18" t="s">
        <v>989</v>
      </c>
      <c r="B31" s="19" t="s">
        <v>977</v>
      </c>
      <c r="C31" s="19" t="s">
        <v>990</v>
      </c>
      <c r="D31" s="19" t="s">
        <v>991</v>
      </c>
      <c r="E31" s="19" t="s">
        <v>992</v>
      </c>
      <c r="F31" s="18" t="s">
        <v>194</v>
      </c>
      <c r="G31" s="25"/>
      <c r="H31" s="26" t="str">
        <f t="shared" si="2"/>
        <v/>
      </c>
      <c r="I31" s="27" t="s">
        <v>235</v>
      </c>
      <c r="J31" s="27" t="s">
        <v>236</v>
      </c>
      <c r="K31" s="28" t="s">
        <v>237</v>
      </c>
      <c r="L31" s="28" t="s">
        <v>238</v>
      </c>
    </row>
    <row r="32" spans="1:12" ht="42" customHeight="1" x14ac:dyDescent="0.35">
      <c r="A32" s="21" t="s">
        <v>993</v>
      </c>
      <c r="B32" s="22" t="s">
        <v>977</v>
      </c>
      <c r="C32" s="22" t="s">
        <v>994</v>
      </c>
      <c r="D32" s="22" t="s">
        <v>995</v>
      </c>
      <c r="E32" s="22" t="s">
        <v>996</v>
      </c>
      <c r="F32" s="21" t="s">
        <v>194</v>
      </c>
      <c r="G32" s="29"/>
      <c r="H32" s="30" t="str">
        <f t="shared" si="2"/>
        <v/>
      </c>
      <c r="I32" s="31" t="s">
        <v>235</v>
      </c>
      <c r="J32" s="31" t="s">
        <v>236</v>
      </c>
      <c r="K32" s="32" t="s">
        <v>237</v>
      </c>
      <c r="L32" s="32" t="s">
        <v>238</v>
      </c>
    </row>
    <row r="33" spans="1:12" ht="42" customHeight="1" x14ac:dyDescent="0.35">
      <c r="A33" s="18" t="s">
        <v>997</v>
      </c>
      <c r="B33" s="19" t="s">
        <v>977</v>
      </c>
      <c r="C33" s="19" t="s">
        <v>998</v>
      </c>
      <c r="D33" s="19" t="s">
        <v>999</v>
      </c>
      <c r="E33" s="19" t="s">
        <v>1000</v>
      </c>
      <c r="F33" s="18" t="s">
        <v>194</v>
      </c>
      <c r="G33" s="25"/>
      <c r="H33" s="26" t="str">
        <f t="shared" si="2"/>
        <v/>
      </c>
      <c r="I33" s="27" t="s">
        <v>235</v>
      </c>
      <c r="J33" s="27" t="s">
        <v>236</v>
      </c>
      <c r="K33" s="28" t="s">
        <v>237</v>
      </c>
      <c r="L33" s="28" t="s">
        <v>238</v>
      </c>
    </row>
    <row r="34" spans="1:12" ht="42" customHeight="1" x14ac:dyDescent="0.35">
      <c r="A34" s="21" t="s">
        <v>1001</v>
      </c>
      <c r="B34" s="22" t="s">
        <v>977</v>
      </c>
      <c r="C34" s="22" t="s">
        <v>1002</v>
      </c>
      <c r="D34" s="22" t="s">
        <v>1003</v>
      </c>
      <c r="E34" s="22" t="s">
        <v>1004</v>
      </c>
      <c r="F34" s="21" t="s">
        <v>194</v>
      </c>
      <c r="G34" s="29"/>
      <c r="H34" s="30" t="str">
        <f t="shared" si="2"/>
        <v/>
      </c>
      <c r="I34" s="31" t="s">
        <v>235</v>
      </c>
      <c r="J34" s="31" t="s">
        <v>236</v>
      </c>
      <c r="K34" s="32" t="s">
        <v>237</v>
      </c>
      <c r="L34" s="32" t="s">
        <v>238</v>
      </c>
    </row>
    <row r="35" spans="1:12" ht="44" customHeight="1" x14ac:dyDescent="0.35">
      <c r="A35" s="18" t="s">
        <v>1005</v>
      </c>
      <c r="B35" s="19" t="s">
        <v>977</v>
      </c>
      <c r="C35" s="19" t="s">
        <v>1006</v>
      </c>
      <c r="D35" s="19" t="s">
        <v>1007</v>
      </c>
      <c r="E35" s="19" t="s">
        <v>1008</v>
      </c>
      <c r="F35" s="18" t="s">
        <v>194</v>
      </c>
      <c r="G35" s="25"/>
      <c r="H35" s="26" t="str">
        <f t="shared" si="2"/>
        <v/>
      </c>
      <c r="I35" s="27" t="s">
        <v>235</v>
      </c>
      <c r="J35" s="27" t="s">
        <v>236</v>
      </c>
      <c r="K35" s="28" t="s">
        <v>237</v>
      </c>
      <c r="L35" s="28" t="s">
        <v>238</v>
      </c>
    </row>
    <row r="36" spans="1:12" ht="42" customHeight="1" x14ac:dyDescent="0.35">
      <c r="A36" s="21" t="s">
        <v>1009</v>
      </c>
      <c r="B36" s="22" t="s">
        <v>977</v>
      </c>
      <c r="C36" s="22" t="s">
        <v>1010</v>
      </c>
      <c r="D36" s="22" t="s">
        <v>1011</v>
      </c>
      <c r="E36" s="22" t="s">
        <v>1012</v>
      </c>
      <c r="F36" s="21" t="s">
        <v>194</v>
      </c>
      <c r="G36" s="29"/>
      <c r="H36" s="30" t="str">
        <f t="shared" si="2"/>
        <v/>
      </c>
      <c r="I36" s="31" t="s">
        <v>235</v>
      </c>
      <c r="J36" s="31" t="s">
        <v>236</v>
      </c>
      <c r="K36" s="32" t="s">
        <v>237</v>
      </c>
      <c r="L36" s="32" t="s">
        <v>238</v>
      </c>
    </row>
    <row r="37" spans="1:12" ht="42" customHeight="1" x14ac:dyDescent="0.35">
      <c r="A37" s="18" t="s">
        <v>1013</v>
      </c>
      <c r="B37" s="19" t="s">
        <v>977</v>
      </c>
      <c r="C37" s="19" t="s">
        <v>1014</v>
      </c>
      <c r="D37" s="19" t="s">
        <v>1015</v>
      </c>
      <c r="E37" s="19" t="s">
        <v>1016</v>
      </c>
      <c r="F37" s="18" t="s">
        <v>194</v>
      </c>
      <c r="G37" s="25"/>
      <c r="H37" s="26" t="str">
        <f t="shared" si="2"/>
        <v/>
      </c>
      <c r="I37" s="27" t="s">
        <v>235</v>
      </c>
      <c r="J37" s="27" t="s">
        <v>236</v>
      </c>
      <c r="K37" s="28" t="s">
        <v>237</v>
      </c>
      <c r="L37" s="28" t="s">
        <v>238</v>
      </c>
    </row>
  </sheetData>
  <mergeCells count="6">
    <mergeCell ref="A2:L2"/>
    <mergeCell ref="A1:L1"/>
    <mergeCell ref="A5:L5"/>
    <mergeCell ref="A14:L14"/>
    <mergeCell ref="A27:L27"/>
    <mergeCell ref="A21:L21"/>
  </mergeCells>
  <conditionalFormatting sqref="G5:G37">
    <cfRule type="expression" dxfId="55" priority="1">
      <formula>$H5="RED"</formula>
    </cfRule>
    <cfRule type="expression" dxfId="54" priority="3">
      <formula>$H5="AMBER"</formula>
    </cfRule>
    <cfRule type="expression" dxfId="53" priority="5">
      <formula>$H5="GREEN"</formula>
    </cfRule>
  </conditionalFormatting>
  <conditionalFormatting sqref="H5:H37">
    <cfRule type="expression" dxfId="52" priority="2">
      <formula>$H5="RED"</formula>
    </cfRule>
    <cfRule type="expression" dxfId="51" priority="4">
      <formula>$H5="AMBER"</formula>
    </cfRule>
    <cfRule type="expression" dxfId="50" priority="6">
      <formula>$H5="GREEN"</formula>
    </cfRule>
  </conditionalFormatting>
  <dataValidations count="1">
    <dataValidation type="whole" allowBlank="1" showErrorMessage="1" errorTitle="Invalid Score" error="Please enter a whole score between 1 and 5" sqref="G5:G37" xr:uid="{00000000-0002-0000-0700-000000000000}">
      <formula1>1</formula1>
      <formula2>5</formula2>
    </dataValidation>
  </dataValidations>
  <pageMargins left="0.75" right="0.75" top="1" bottom="1" header="0.5" footer="0.5"/>
  <pageSetup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BF8F00"/>
    <pageSetUpPr fitToPage="1"/>
  </sheetPr>
  <dimension ref="A1:L36"/>
  <sheetViews>
    <sheetView showGridLines="0" workbookViewId="0">
      <pane xSplit="3" ySplit="4" topLeftCell="D5" activePane="bottomRight" state="frozen"/>
      <selection pane="topRight"/>
      <selection pane="bottomLeft"/>
      <selection pane="bottomRight"/>
    </sheetView>
  </sheetViews>
  <sheetFormatPr defaultRowHeight="14.5" x14ac:dyDescent="0.35"/>
  <cols>
    <col min="1" max="1" width="10.7265625" customWidth="1"/>
    <col min="2" max="2" width="22" customWidth="1"/>
    <col min="3" max="3" width="28" customWidth="1"/>
    <col min="4" max="4" width="48" customWidth="1"/>
    <col min="5" max="5" width="36" customWidth="1"/>
    <col min="6" max="6" width="8" customWidth="1"/>
    <col min="7" max="7" width="8.453125" customWidth="1"/>
    <col min="8" max="8" width="10.7265625" customWidth="1"/>
    <col min="9" max="10" width="34" customWidth="1"/>
    <col min="11" max="11" width="14" customWidth="1"/>
    <col min="12" max="12" width="12" customWidth="1"/>
  </cols>
  <sheetData>
    <row r="1" spans="1:12" ht="32" customHeight="1" x14ac:dyDescent="0.35">
      <c r="A1" s="63" t="s">
        <v>1017</v>
      </c>
      <c r="B1" s="54"/>
      <c r="C1" s="54"/>
      <c r="D1" s="54"/>
      <c r="E1" s="54"/>
      <c r="F1" s="54"/>
      <c r="G1" s="54"/>
      <c r="H1" s="54"/>
      <c r="I1" s="54"/>
      <c r="J1" s="54"/>
      <c r="K1" s="54"/>
      <c r="L1" s="54"/>
    </row>
    <row r="2" spans="1:12" ht="22" customHeight="1" x14ac:dyDescent="0.35">
      <c r="A2" s="64" t="s">
        <v>1018</v>
      </c>
      <c r="B2" s="54"/>
      <c r="C2" s="54"/>
      <c r="D2" s="54"/>
      <c r="E2" s="54"/>
      <c r="F2" s="54"/>
      <c r="G2" s="54"/>
      <c r="H2" s="54"/>
      <c r="I2" s="54"/>
      <c r="J2" s="54"/>
      <c r="K2" s="54"/>
      <c r="L2" s="54"/>
    </row>
    <row r="4" spans="1:12" ht="34" customHeight="1" x14ac:dyDescent="0.35">
      <c r="A4" s="3" t="s">
        <v>217</v>
      </c>
      <c r="B4" s="3" t="s">
        <v>218</v>
      </c>
      <c r="C4" s="3" t="s">
        <v>219</v>
      </c>
      <c r="D4" s="3" t="s">
        <v>220</v>
      </c>
      <c r="E4" s="3" t="s">
        <v>221</v>
      </c>
      <c r="F4" s="3" t="s">
        <v>222</v>
      </c>
      <c r="G4" s="3" t="s">
        <v>223</v>
      </c>
      <c r="H4" s="3" t="s">
        <v>224</v>
      </c>
      <c r="I4" s="3" t="s">
        <v>225</v>
      </c>
      <c r="J4" s="3" t="s">
        <v>226</v>
      </c>
      <c r="K4" s="3" t="s">
        <v>227</v>
      </c>
      <c r="L4" s="3" t="s">
        <v>228</v>
      </c>
    </row>
    <row r="5" spans="1:12" ht="20" customHeight="1" x14ac:dyDescent="0.35">
      <c r="A5" s="65" t="s">
        <v>1019</v>
      </c>
      <c r="B5" s="66"/>
      <c r="C5" s="66"/>
      <c r="D5" s="66"/>
      <c r="E5" s="66"/>
      <c r="F5" s="66"/>
      <c r="G5" s="66"/>
      <c r="H5" s="66"/>
      <c r="I5" s="66"/>
      <c r="J5" s="66"/>
      <c r="K5" s="66"/>
      <c r="L5" s="66"/>
    </row>
    <row r="6" spans="1:12" ht="44" customHeight="1" x14ac:dyDescent="0.35">
      <c r="A6" s="18" t="s">
        <v>1020</v>
      </c>
      <c r="B6" s="19" t="s">
        <v>1021</v>
      </c>
      <c r="C6" s="19" t="s">
        <v>1022</v>
      </c>
      <c r="D6" s="19" t="s">
        <v>1023</v>
      </c>
      <c r="E6" s="19" t="s">
        <v>1024</v>
      </c>
      <c r="F6" s="18" t="s">
        <v>196</v>
      </c>
      <c r="G6" s="25"/>
      <c r="H6" s="26" t="str">
        <f t="shared" ref="H6:H13" si="0">IF(G6="","",IF(G6&lt;=RED_MAX,"RED",IF(G6&lt;=AMBER_MAX,"AMBER","GREEN")))</f>
        <v/>
      </c>
      <c r="I6" s="27" t="s">
        <v>235</v>
      </c>
      <c r="J6" s="27" t="s">
        <v>236</v>
      </c>
      <c r="K6" s="28" t="s">
        <v>237</v>
      </c>
      <c r="L6" s="28" t="s">
        <v>238</v>
      </c>
    </row>
    <row r="7" spans="1:12" ht="44" customHeight="1" x14ac:dyDescent="0.35">
      <c r="A7" s="21" t="s">
        <v>1025</v>
      </c>
      <c r="B7" s="22" t="s">
        <v>1021</v>
      </c>
      <c r="C7" s="22" t="s">
        <v>1026</v>
      </c>
      <c r="D7" s="22" t="s">
        <v>1027</v>
      </c>
      <c r="E7" s="22" t="s">
        <v>1028</v>
      </c>
      <c r="F7" s="21" t="s">
        <v>196</v>
      </c>
      <c r="G7" s="29"/>
      <c r="H7" s="30" t="str">
        <f t="shared" si="0"/>
        <v/>
      </c>
      <c r="I7" s="31" t="s">
        <v>235</v>
      </c>
      <c r="J7" s="31" t="s">
        <v>236</v>
      </c>
      <c r="K7" s="32" t="s">
        <v>237</v>
      </c>
      <c r="L7" s="32" t="s">
        <v>238</v>
      </c>
    </row>
    <row r="8" spans="1:12" ht="44" customHeight="1" x14ac:dyDescent="0.35">
      <c r="A8" s="18" t="s">
        <v>1029</v>
      </c>
      <c r="B8" s="19" t="s">
        <v>1021</v>
      </c>
      <c r="C8" s="19" t="s">
        <v>1030</v>
      </c>
      <c r="D8" s="19" t="s">
        <v>1031</v>
      </c>
      <c r="E8" s="19" t="s">
        <v>1032</v>
      </c>
      <c r="F8" s="18" t="s">
        <v>196</v>
      </c>
      <c r="G8" s="25"/>
      <c r="H8" s="26" t="str">
        <f t="shared" si="0"/>
        <v/>
      </c>
      <c r="I8" s="27" t="s">
        <v>235</v>
      </c>
      <c r="J8" s="27" t="s">
        <v>236</v>
      </c>
      <c r="K8" s="28" t="s">
        <v>237</v>
      </c>
      <c r="L8" s="28" t="s">
        <v>238</v>
      </c>
    </row>
    <row r="9" spans="1:12" ht="42" customHeight="1" x14ac:dyDescent="0.35">
      <c r="A9" s="21" t="s">
        <v>1033</v>
      </c>
      <c r="B9" s="22" t="s">
        <v>1021</v>
      </c>
      <c r="C9" s="22" t="s">
        <v>1034</v>
      </c>
      <c r="D9" s="22" t="s">
        <v>1035</v>
      </c>
      <c r="E9" s="22" t="s">
        <v>1036</v>
      </c>
      <c r="F9" s="21" t="s">
        <v>196</v>
      </c>
      <c r="G9" s="29"/>
      <c r="H9" s="30" t="str">
        <f t="shared" si="0"/>
        <v/>
      </c>
      <c r="I9" s="31" t="s">
        <v>235</v>
      </c>
      <c r="J9" s="31" t="s">
        <v>236</v>
      </c>
      <c r="K9" s="32" t="s">
        <v>237</v>
      </c>
      <c r="L9" s="32" t="s">
        <v>238</v>
      </c>
    </row>
    <row r="10" spans="1:12" ht="42" customHeight="1" x14ac:dyDescent="0.35">
      <c r="A10" s="18" t="s">
        <v>1037</v>
      </c>
      <c r="B10" s="19" t="s">
        <v>1021</v>
      </c>
      <c r="C10" s="19" t="s">
        <v>1038</v>
      </c>
      <c r="D10" s="19" t="s">
        <v>1039</v>
      </c>
      <c r="E10" s="19" t="s">
        <v>1040</v>
      </c>
      <c r="F10" s="18" t="s">
        <v>196</v>
      </c>
      <c r="G10" s="25"/>
      <c r="H10" s="26" t="str">
        <f t="shared" si="0"/>
        <v/>
      </c>
      <c r="I10" s="27" t="s">
        <v>235</v>
      </c>
      <c r="J10" s="27" t="s">
        <v>236</v>
      </c>
      <c r="K10" s="28" t="s">
        <v>237</v>
      </c>
      <c r="L10" s="28" t="s">
        <v>238</v>
      </c>
    </row>
    <row r="11" spans="1:12" ht="42" customHeight="1" x14ac:dyDescent="0.35">
      <c r="A11" s="21" t="s">
        <v>1041</v>
      </c>
      <c r="B11" s="22" t="s">
        <v>1021</v>
      </c>
      <c r="C11" s="22" t="s">
        <v>1042</v>
      </c>
      <c r="D11" s="22" t="s">
        <v>1043</v>
      </c>
      <c r="E11" s="22" t="s">
        <v>1044</v>
      </c>
      <c r="F11" s="21" t="s">
        <v>196</v>
      </c>
      <c r="G11" s="29"/>
      <c r="H11" s="30" t="str">
        <f t="shared" si="0"/>
        <v/>
      </c>
      <c r="I11" s="31" t="s">
        <v>235</v>
      </c>
      <c r="J11" s="31" t="s">
        <v>236</v>
      </c>
      <c r="K11" s="32" t="s">
        <v>237</v>
      </c>
      <c r="L11" s="32" t="s">
        <v>238</v>
      </c>
    </row>
    <row r="12" spans="1:12" ht="42" customHeight="1" x14ac:dyDescent="0.35">
      <c r="A12" s="18" t="s">
        <v>1045</v>
      </c>
      <c r="B12" s="19" t="s">
        <v>1021</v>
      </c>
      <c r="C12" s="19" t="s">
        <v>1046</v>
      </c>
      <c r="D12" s="19" t="s">
        <v>1047</v>
      </c>
      <c r="E12" s="19" t="s">
        <v>1048</v>
      </c>
      <c r="F12" s="18" t="s">
        <v>196</v>
      </c>
      <c r="G12" s="25"/>
      <c r="H12" s="26" t="str">
        <f t="shared" si="0"/>
        <v/>
      </c>
      <c r="I12" s="27" t="s">
        <v>235</v>
      </c>
      <c r="J12" s="27" t="s">
        <v>236</v>
      </c>
      <c r="K12" s="28" t="s">
        <v>237</v>
      </c>
      <c r="L12" s="28" t="s">
        <v>238</v>
      </c>
    </row>
    <row r="13" spans="1:12" ht="42" customHeight="1" x14ac:dyDescent="0.35">
      <c r="A13" s="21" t="s">
        <v>1049</v>
      </c>
      <c r="B13" s="22" t="s">
        <v>1021</v>
      </c>
      <c r="C13" s="22" t="s">
        <v>1050</v>
      </c>
      <c r="D13" s="22" t="s">
        <v>1051</v>
      </c>
      <c r="E13" s="22" t="s">
        <v>1052</v>
      </c>
      <c r="F13" s="21" t="s">
        <v>196</v>
      </c>
      <c r="G13" s="29"/>
      <c r="H13" s="30" t="str">
        <f t="shared" si="0"/>
        <v/>
      </c>
      <c r="I13" s="31" t="s">
        <v>235</v>
      </c>
      <c r="J13" s="31" t="s">
        <v>236</v>
      </c>
      <c r="K13" s="32" t="s">
        <v>237</v>
      </c>
      <c r="L13" s="32" t="s">
        <v>238</v>
      </c>
    </row>
    <row r="14" spans="1:12" ht="20" customHeight="1" x14ac:dyDescent="0.35">
      <c r="A14" s="65" t="s">
        <v>1053</v>
      </c>
      <c r="B14" s="66"/>
      <c r="C14" s="66"/>
      <c r="D14" s="66"/>
      <c r="E14" s="66"/>
      <c r="F14" s="66"/>
      <c r="G14" s="66"/>
      <c r="H14" s="66"/>
      <c r="I14" s="66"/>
      <c r="J14" s="66"/>
      <c r="K14" s="66"/>
      <c r="L14" s="66"/>
    </row>
    <row r="15" spans="1:12" ht="42" customHeight="1" x14ac:dyDescent="0.35">
      <c r="A15" s="18" t="s">
        <v>1054</v>
      </c>
      <c r="B15" s="19" t="s">
        <v>1055</v>
      </c>
      <c r="C15" s="19" t="s">
        <v>1056</v>
      </c>
      <c r="D15" s="19" t="s">
        <v>1057</v>
      </c>
      <c r="E15" s="19" t="s">
        <v>1058</v>
      </c>
      <c r="F15" s="18" t="s">
        <v>200</v>
      </c>
      <c r="G15" s="25"/>
      <c r="H15" s="26" t="str">
        <f>IF(G15="","",IF(G15&lt;=RED_MAX,"RED",IF(G15&lt;=AMBER_MAX,"AMBER","GREEN")))</f>
        <v/>
      </c>
      <c r="I15" s="27" t="s">
        <v>235</v>
      </c>
      <c r="J15" s="27" t="s">
        <v>236</v>
      </c>
      <c r="K15" s="28" t="s">
        <v>237</v>
      </c>
      <c r="L15" s="28" t="s">
        <v>238</v>
      </c>
    </row>
    <row r="16" spans="1:12" ht="42" customHeight="1" x14ac:dyDescent="0.35">
      <c r="A16" s="21" t="s">
        <v>1059</v>
      </c>
      <c r="B16" s="22" t="s">
        <v>1055</v>
      </c>
      <c r="C16" s="22" t="s">
        <v>1060</v>
      </c>
      <c r="D16" s="22" t="s">
        <v>1061</v>
      </c>
      <c r="E16" s="22" t="s">
        <v>1062</v>
      </c>
      <c r="F16" s="21" t="s">
        <v>200</v>
      </c>
      <c r="G16" s="29"/>
      <c r="H16" s="30" t="str">
        <f>IF(G16="","",IF(G16&lt;=RED_MAX,"RED",IF(G16&lt;=AMBER_MAX,"AMBER","GREEN")))</f>
        <v/>
      </c>
      <c r="I16" s="31" t="s">
        <v>235</v>
      </c>
      <c r="J16" s="31" t="s">
        <v>236</v>
      </c>
      <c r="K16" s="32" t="s">
        <v>237</v>
      </c>
      <c r="L16" s="32" t="s">
        <v>238</v>
      </c>
    </row>
    <row r="17" spans="1:12" ht="42" customHeight="1" x14ac:dyDescent="0.35">
      <c r="A17" s="18" t="s">
        <v>1063</v>
      </c>
      <c r="B17" s="19" t="s">
        <v>1055</v>
      </c>
      <c r="C17" s="19" t="s">
        <v>1064</v>
      </c>
      <c r="D17" s="19" t="s">
        <v>1065</v>
      </c>
      <c r="E17" s="19" t="s">
        <v>1066</v>
      </c>
      <c r="F17" s="18" t="s">
        <v>200</v>
      </c>
      <c r="G17" s="25"/>
      <c r="H17" s="26" t="str">
        <f>IF(G17="","",IF(G17&lt;=RED_MAX,"RED",IF(G17&lt;=AMBER_MAX,"AMBER","GREEN")))</f>
        <v/>
      </c>
      <c r="I17" s="27" t="s">
        <v>235</v>
      </c>
      <c r="J17" s="27" t="s">
        <v>236</v>
      </c>
      <c r="K17" s="28" t="s">
        <v>237</v>
      </c>
      <c r="L17" s="28" t="s">
        <v>238</v>
      </c>
    </row>
    <row r="18" spans="1:12" ht="42" customHeight="1" x14ac:dyDescent="0.35">
      <c r="A18" s="21" t="s">
        <v>1067</v>
      </c>
      <c r="B18" s="22" t="s">
        <v>1055</v>
      </c>
      <c r="C18" s="22" t="s">
        <v>1068</v>
      </c>
      <c r="D18" s="22" t="s">
        <v>1069</v>
      </c>
      <c r="E18" s="22" t="s">
        <v>1070</v>
      </c>
      <c r="F18" s="21" t="s">
        <v>200</v>
      </c>
      <c r="G18" s="29"/>
      <c r="H18" s="30" t="str">
        <f>IF(G18="","",IF(G18&lt;=RED_MAX,"RED",IF(G18&lt;=AMBER_MAX,"AMBER","GREEN")))</f>
        <v/>
      </c>
      <c r="I18" s="31" t="s">
        <v>235</v>
      </c>
      <c r="J18" s="31" t="s">
        <v>236</v>
      </c>
      <c r="K18" s="32" t="s">
        <v>237</v>
      </c>
      <c r="L18" s="32" t="s">
        <v>238</v>
      </c>
    </row>
    <row r="19" spans="1:12" ht="42" customHeight="1" x14ac:dyDescent="0.35">
      <c r="A19" s="18" t="s">
        <v>1071</v>
      </c>
      <c r="B19" s="19" t="s">
        <v>1055</v>
      </c>
      <c r="C19" s="19" t="s">
        <v>1072</v>
      </c>
      <c r="D19" s="19" t="s">
        <v>1073</v>
      </c>
      <c r="E19" s="19" t="s">
        <v>1074</v>
      </c>
      <c r="F19" s="18" t="s">
        <v>200</v>
      </c>
      <c r="G19" s="25"/>
      <c r="H19" s="26" t="str">
        <f>IF(G19="","",IF(G19&lt;=RED_MAX,"RED",IF(G19&lt;=AMBER_MAX,"AMBER","GREEN")))</f>
        <v/>
      </c>
      <c r="I19" s="27" t="s">
        <v>235</v>
      </c>
      <c r="J19" s="27" t="s">
        <v>236</v>
      </c>
      <c r="K19" s="28" t="s">
        <v>237</v>
      </c>
      <c r="L19" s="28" t="s">
        <v>238</v>
      </c>
    </row>
    <row r="20" spans="1:12" ht="20" customHeight="1" x14ac:dyDescent="0.35">
      <c r="A20" s="65" t="s">
        <v>1075</v>
      </c>
      <c r="B20" s="66"/>
      <c r="C20" s="66"/>
      <c r="D20" s="66"/>
      <c r="E20" s="66"/>
      <c r="F20" s="66"/>
      <c r="G20" s="66"/>
      <c r="H20" s="66"/>
      <c r="I20" s="66"/>
      <c r="J20" s="66"/>
      <c r="K20" s="66"/>
      <c r="L20" s="66"/>
    </row>
    <row r="21" spans="1:12" ht="44" customHeight="1" x14ac:dyDescent="0.35">
      <c r="A21" s="21" t="s">
        <v>1076</v>
      </c>
      <c r="B21" s="22" t="s">
        <v>1077</v>
      </c>
      <c r="C21" s="22" t="s">
        <v>1078</v>
      </c>
      <c r="D21" s="22" t="s">
        <v>1079</v>
      </c>
      <c r="E21" s="22" t="s">
        <v>1080</v>
      </c>
      <c r="F21" s="21" t="s">
        <v>202</v>
      </c>
      <c r="G21" s="29"/>
      <c r="H21" s="30" t="str">
        <f t="shared" ref="H21:H26" si="1">IF(G21="","",IF(G21&lt;=RED_MAX,"RED",IF(G21&lt;=AMBER_MAX,"AMBER","GREEN")))</f>
        <v/>
      </c>
      <c r="I21" s="31" t="s">
        <v>235</v>
      </c>
      <c r="J21" s="31" t="s">
        <v>236</v>
      </c>
      <c r="K21" s="32" t="s">
        <v>237</v>
      </c>
      <c r="L21" s="32" t="s">
        <v>238</v>
      </c>
    </row>
    <row r="22" spans="1:12" ht="44" customHeight="1" x14ac:dyDescent="0.35">
      <c r="A22" s="18" t="s">
        <v>1081</v>
      </c>
      <c r="B22" s="19" t="s">
        <v>1077</v>
      </c>
      <c r="C22" s="19" t="s">
        <v>1082</v>
      </c>
      <c r="D22" s="19" t="s">
        <v>1083</v>
      </c>
      <c r="E22" s="19" t="s">
        <v>1084</v>
      </c>
      <c r="F22" s="18" t="s">
        <v>202</v>
      </c>
      <c r="G22" s="25"/>
      <c r="H22" s="26" t="str">
        <f t="shared" si="1"/>
        <v/>
      </c>
      <c r="I22" s="27" t="s">
        <v>235</v>
      </c>
      <c r="J22" s="27" t="s">
        <v>236</v>
      </c>
      <c r="K22" s="28" t="s">
        <v>237</v>
      </c>
      <c r="L22" s="28" t="s">
        <v>238</v>
      </c>
    </row>
    <row r="23" spans="1:12" ht="42" customHeight="1" x14ac:dyDescent="0.35">
      <c r="A23" s="21" t="s">
        <v>1085</v>
      </c>
      <c r="B23" s="22" t="s">
        <v>1077</v>
      </c>
      <c r="C23" s="22" t="s">
        <v>1086</v>
      </c>
      <c r="D23" s="22" t="s">
        <v>1087</v>
      </c>
      <c r="E23" s="22" t="s">
        <v>1088</v>
      </c>
      <c r="F23" s="21" t="s">
        <v>202</v>
      </c>
      <c r="G23" s="29"/>
      <c r="H23" s="30" t="str">
        <f t="shared" si="1"/>
        <v/>
      </c>
      <c r="I23" s="31" t="s">
        <v>235</v>
      </c>
      <c r="J23" s="31" t="s">
        <v>236</v>
      </c>
      <c r="K23" s="32" t="s">
        <v>237</v>
      </c>
      <c r="L23" s="32" t="s">
        <v>238</v>
      </c>
    </row>
    <row r="24" spans="1:12" ht="42" customHeight="1" x14ac:dyDescent="0.35">
      <c r="A24" s="18" t="s">
        <v>1089</v>
      </c>
      <c r="B24" s="19" t="s">
        <v>1077</v>
      </c>
      <c r="C24" s="19" t="s">
        <v>1090</v>
      </c>
      <c r="D24" s="19" t="s">
        <v>1091</v>
      </c>
      <c r="E24" s="19" t="s">
        <v>1092</v>
      </c>
      <c r="F24" s="18" t="s">
        <v>202</v>
      </c>
      <c r="G24" s="25"/>
      <c r="H24" s="26" t="str">
        <f t="shared" si="1"/>
        <v/>
      </c>
      <c r="I24" s="27" t="s">
        <v>235</v>
      </c>
      <c r="J24" s="27" t="s">
        <v>236</v>
      </c>
      <c r="K24" s="28" t="s">
        <v>237</v>
      </c>
      <c r="L24" s="28" t="s">
        <v>238</v>
      </c>
    </row>
    <row r="25" spans="1:12" ht="42" customHeight="1" x14ac:dyDescent="0.35">
      <c r="A25" s="21" t="s">
        <v>1093</v>
      </c>
      <c r="B25" s="22" t="s">
        <v>1077</v>
      </c>
      <c r="C25" s="22" t="s">
        <v>1094</v>
      </c>
      <c r="D25" s="22" t="s">
        <v>1095</v>
      </c>
      <c r="E25" s="22" t="s">
        <v>1096</v>
      </c>
      <c r="F25" s="21" t="s">
        <v>202</v>
      </c>
      <c r="G25" s="29"/>
      <c r="H25" s="30" t="str">
        <f t="shared" si="1"/>
        <v/>
      </c>
      <c r="I25" s="31" t="s">
        <v>235</v>
      </c>
      <c r="J25" s="31" t="s">
        <v>236</v>
      </c>
      <c r="K25" s="32" t="s">
        <v>237</v>
      </c>
      <c r="L25" s="32" t="s">
        <v>238</v>
      </c>
    </row>
    <row r="26" spans="1:12" ht="42" customHeight="1" x14ac:dyDescent="0.35">
      <c r="A26" s="18" t="s">
        <v>1097</v>
      </c>
      <c r="B26" s="19" t="s">
        <v>1077</v>
      </c>
      <c r="C26" s="19" t="s">
        <v>1098</v>
      </c>
      <c r="D26" s="19" t="s">
        <v>1099</v>
      </c>
      <c r="E26" s="19" t="s">
        <v>1100</v>
      </c>
      <c r="F26" s="18" t="s">
        <v>202</v>
      </c>
      <c r="G26" s="25"/>
      <c r="H26" s="26" t="str">
        <f t="shared" si="1"/>
        <v/>
      </c>
      <c r="I26" s="27" t="s">
        <v>235</v>
      </c>
      <c r="J26" s="27" t="s">
        <v>236</v>
      </c>
      <c r="K26" s="28" t="s">
        <v>237</v>
      </c>
      <c r="L26" s="28" t="s">
        <v>238</v>
      </c>
    </row>
    <row r="27" spans="1:12" ht="20" customHeight="1" x14ac:dyDescent="0.35">
      <c r="A27" s="65" t="s">
        <v>1101</v>
      </c>
      <c r="B27" s="66"/>
      <c r="C27" s="66"/>
      <c r="D27" s="66"/>
      <c r="E27" s="66"/>
      <c r="F27" s="66"/>
      <c r="G27" s="66"/>
      <c r="H27" s="66"/>
      <c r="I27" s="66"/>
      <c r="J27" s="66"/>
      <c r="K27" s="66"/>
      <c r="L27" s="66"/>
    </row>
    <row r="28" spans="1:12" ht="44" customHeight="1" x14ac:dyDescent="0.35">
      <c r="A28" s="21" t="s">
        <v>1102</v>
      </c>
      <c r="B28" s="22" t="s">
        <v>1103</v>
      </c>
      <c r="C28" s="22" t="s">
        <v>1104</v>
      </c>
      <c r="D28" s="22" t="s">
        <v>1105</v>
      </c>
      <c r="E28" s="22" t="s">
        <v>1106</v>
      </c>
      <c r="F28" s="21" t="s">
        <v>204</v>
      </c>
      <c r="G28" s="29"/>
      <c r="H28" s="30" t="str">
        <f>IF(G28="","",IF(G28&lt;=RED_MAX,"RED",IF(G28&lt;=AMBER_MAX,"AMBER","GREEN")))</f>
        <v/>
      </c>
      <c r="I28" s="31" t="s">
        <v>235</v>
      </c>
      <c r="J28" s="31" t="s">
        <v>236</v>
      </c>
      <c r="K28" s="32" t="s">
        <v>237</v>
      </c>
      <c r="L28" s="32" t="s">
        <v>238</v>
      </c>
    </row>
    <row r="29" spans="1:12" ht="42" customHeight="1" x14ac:dyDescent="0.35">
      <c r="A29" s="18" t="s">
        <v>1107</v>
      </c>
      <c r="B29" s="19" t="s">
        <v>1103</v>
      </c>
      <c r="C29" s="19" t="s">
        <v>1108</v>
      </c>
      <c r="D29" s="19" t="s">
        <v>1109</v>
      </c>
      <c r="E29" s="19" t="s">
        <v>1110</v>
      </c>
      <c r="F29" s="18" t="s">
        <v>204</v>
      </c>
      <c r="G29" s="25"/>
      <c r="H29" s="26" t="str">
        <f>IF(G29="","",IF(G29&lt;=RED_MAX,"RED",IF(G29&lt;=AMBER_MAX,"AMBER","GREEN")))</f>
        <v/>
      </c>
      <c r="I29" s="27" t="s">
        <v>235</v>
      </c>
      <c r="J29" s="27" t="s">
        <v>236</v>
      </c>
      <c r="K29" s="28" t="s">
        <v>237</v>
      </c>
      <c r="L29" s="28" t="s">
        <v>238</v>
      </c>
    </row>
    <row r="30" spans="1:12" ht="42" customHeight="1" x14ac:dyDescent="0.35">
      <c r="A30" s="21" t="s">
        <v>1111</v>
      </c>
      <c r="B30" s="22" t="s">
        <v>1103</v>
      </c>
      <c r="C30" s="22" t="s">
        <v>1112</v>
      </c>
      <c r="D30" s="22" t="s">
        <v>1113</v>
      </c>
      <c r="E30" s="22" t="s">
        <v>1114</v>
      </c>
      <c r="F30" s="21" t="s">
        <v>204</v>
      </c>
      <c r="G30" s="29"/>
      <c r="H30" s="30" t="str">
        <f>IF(G30="","",IF(G30&lt;=RED_MAX,"RED",IF(G30&lt;=AMBER_MAX,"AMBER","GREEN")))</f>
        <v/>
      </c>
      <c r="I30" s="31" t="s">
        <v>235</v>
      </c>
      <c r="J30" s="31" t="s">
        <v>236</v>
      </c>
      <c r="K30" s="32" t="s">
        <v>237</v>
      </c>
      <c r="L30" s="32" t="s">
        <v>238</v>
      </c>
    </row>
    <row r="31" spans="1:12" ht="42" customHeight="1" x14ac:dyDescent="0.35">
      <c r="A31" s="18" t="s">
        <v>1115</v>
      </c>
      <c r="B31" s="19" t="s">
        <v>1103</v>
      </c>
      <c r="C31" s="19" t="s">
        <v>1116</v>
      </c>
      <c r="D31" s="19" t="s">
        <v>1117</v>
      </c>
      <c r="E31" s="19" t="s">
        <v>1118</v>
      </c>
      <c r="F31" s="18" t="s">
        <v>204</v>
      </c>
      <c r="G31" s="25"/>
      <c r="H31" s="26" t="str">
        <f>IF(G31="","",IF(G31&lt;=RED_MAX,"RED",IF(G31&lt;=AMBER_MAX,"AMBER","GREEN")))</f>
        <v/>
      </c>
      <c r="I31" s="27" t="s">
        <v>235</v>
      </c>
      <c r="J31" s="27" t="s">
        <v>236</v>
      </c>
      <c r="K31" s="28" t="s">
        <v>237</v>
      </c>
      <c r="L31" s="28" t="s">
        <v>238</v>
      </c>
    </row>
    <row r="32" spans="1:12" ht="20" customHeight="1" x14ac:dyDescent="0.35">
      <c r="A32" s="65" t="s">
        <v>1119</v>
      </c>
      <c r="B32" s="66"/>
      <c r="C32" s="66"/>
      <c r="D32" s="66"/>
      <c r="E32" s="66"/>
      <c r="F32" s="66"/>
      <c r="G32" s="66"/>
      <c r="H32" s="66"/>
      <c r="I32" s="66"/>
      <c r="J32" s="66"/>
      <c r="K32" s="66"/>
      <c r="L32" s="66"/>
    </row>
    <row r="33" spans="1:12" ht="42" customHeight="1" x14ac:dyDescent="0.35">
      <c r="A33" s="21" t="s">
        <v>1120</v>
      </c>
      <c r="B33" s="22" t="s">
        <v>1121</v>
      </c>
      <c r="C33" s="22" t="s">
        <v>1122</v>
      </c>
      <c r="D33" s="22" t="s">
        <v>1123</v>
      </c>
      <c r="E33" s="22" t="s">
        <v>1124</v>
      </c>
      <c r="F33" s="21" t="s">
        <v>206</v>
      </c>
      <c r="G33" s="29"/>
      <c r="H33" s="30" t="str">
        <f>IF(G33="","",IF(G33&lt;=RED_MAX,"RED",IF(G33&lt;=AMBER_MAX,"AMBER","GREEN")))</f>
        <v/>
      </c>
      <c r="I33" s="31" t="s">
        <v>235</v>
      </c>
      <c r="J33" s="31" t="s">
        <v>236</v>
      </c>
      <c r="K33" s="32" t="s">
        <v>237</v>
      </c>
      <c r="L33" s="32" t="s">
        <v>238</v>
      </c>
    </row>
    <row r="34" spans="1:12" ht="42" customHeight="1" x14ac:dyDescent="0.35">
      <c r="A34" s="18" t="s">
        <v>1125</v>
      </c>
      <c r="B34" s="19" t="s">
        <v>1121</v>
      </c>
      <c r="C34" s="19" t="s">
        <v>1126</v>
      </c>
      <c r="D34" s="19" t="s">
        <v>1127</v>
      </c>
      <c r="E34" s="19" t="s">
        <v>1128</v>
      </c>
      <c r="F34" s="18" t="s">
        <v>206</v>
      </c>
      <c r="G34" s="25"/>
      <c r="H34" s="26" t="str">
        <f>IF(G34="","",IF(G34&lt;=RED_MAX,"RED",IF(G34&lt;=AMBER_MAX,"AMBER","GREEN")))</f>
        <v/>
      </c>
      <c r="I34" s="27" t="s">
        <v>235</v>
      </c>
      <c r="J34" s="27" t="s">
        <v>236</v>
      </c>
      <c r="K34" s="28" t="s">
        <v>237</v>
      </c>
      <c r="L34" s="28" t="s">
        <v>238</v>
      </c>
    </row>
    <row r="35" spans="1:12" ht="42" customHeight="1" x14ac:dyDescent="0.35">
      <c r="A35" s="21" t="s">
        <v>1129</v>
      </c>
      <c r="B35" s="22" t="s">
        <v>1121</v>
      </c>
      <c r="C35" s="22" t="s">
        <v>1130</v>
      </c>
      <c r="D35" s="22" t="s">
        <v>1131</v>
      </c>
      <c r="E35" s="22" t="s">
        <v>1132</v>
      </c>
      <c r="F35" s="21" t="s">
        <v>206</v>
      </c>
      <c r="G35" s="29"/>
      <c r="H35" s="30" t="str">
        <f>IF(G35="","",IF(G35&lt;=RED_MAX,"RED",IF(G35&lt;=AMBER_MAX,"AMBER","GREEN")))</f>
        <v/>
      </c>
      <c r="I35" s="31" t="s">
        <v>235</v>
      </c>
      <c r="J35" s="31" t="s">
        <v>236</v>
      </c>
      <c r="K35" s="32" t="s">
        <v>237</v>
      </c>
      <c r="L35" s="32" t="s">
        <v>238</v>
      </c>
    </row>
    <row r="36" spans="1:12" ht="42" customHeight="1" x14ac:dyDescent="0.35">
      <c r="A36" s="18" t="s">
        <v>1133</v>
      </c>
      <c r="B36" s="19" t="s">
        <v>1121</v>
      </c>
      <c r="C36" s="19" t="s">
        <v>1134</v>
      </c>
      <c r="D36" s="19" t="s">
        <v>1135</v>
      </c>
      <c r="E36" s="19" t="s">
        <v>1136</v>
      </c>
      <c r="F36" s="18" t="s">
        <v>206</v>
      </c>
      <c r="G36" s="25"/>
      <c r="H36" s="26" t="str">
        <f>IF(G36="","",IF(G36&lt;=RED_MAX,"RED",IF(G36&lt;=AMBER_MAX,"AMBER","GREEN")))</f>
        <v/>
      </c>
      <c r="I36" s="27" t="s">
        <v>235</v>
      </c>
      <c r="J36" s="27" t="s">
        <v>236</v>
      </c>
      <c r="K36" s="28" t="s">
        <v>237</v>
      </c>
      <c r="L36" s="28" t="s">
        <v>238</v>
      </c>
    </row>
  </sheetData>
  <mergeCells count="7">
    <mergeCell ref="A20:L20"/>
    <mergeCell ref="A2:L2"/>
    <mergeCell ref="A1:L1"/>
    <mergeCell ref="A5:L5"/>
    <mergeCell ref="A32:L32"/>
    <mergeCell ref="A14:L14"/>
    <mergeCell ref="A27:L27"/>
  </mergeCells>
  <conditionalFormatting sqref="G5:G36">
    <cfRule type="expression" dxfId="49" priority="1">
      <formula>$H5="RED"</formula>
    </cfRule>
    <cfRule type="expression" dxfId="48" priority="3">
      <formula>$H5="AMBER"</formula>
    </cfRule>
    <cfRule type="expression" dxfId="47" priority="5">
      <formula>$H5="GREEN"</formula>
    </cfRule>
  </conditionalFormatting>
  <conditionalFormatting sqref="H5:H36">
    <cfRule type="expression" dxfId="46" priority="2">
      <formula>$H5="RED"</formula>
    </cfRule>
    <cfRule type="expression" dxfId="45" priority="4">
      <formula>$H5="AMBER"</formula>
    </cfRule>
    <cfRule type="expression" dxfId="44" priority="6">
      <formula>$H5="GREEN"</formula>
    </cfRule>
  </conditionalFormatting>
  <dataValidations count="1">
    <dataValidation type="whole" allowBlank="1" showErrorMessage="1" errorTitle="Invalid Score" error="Please enter a whole score between 1 and 5" sqref="G5:G36" xr:uid="{00000000-0002-0000-0800-000000000000}">
      <formula1>1</formula1>
      <formula2>5</formula2>
    </dataValidation>
  </dataValidations>
  <pageMargins left="0.75" right="0.75" top="1" bottom="1" header="0.5" footer="0.5"/>
  <pageSetup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BF8F00"/>
    <pageSetUpPr fitToPage="1"/>
  </sheetPr>
  <dimension ref="A1:J34"/>
  <sheetViews>
    <sheetView showGridLines="0" workbookViewId="0">
      <pane xSplit="3" ySplit="6" topLeftCell="D7" activePane="bottomRight" state="frozen"/>
      <selection pane="topRight"/>
      <selection pane="bottomLeft"/>
      <selection pane="bottomRight"/>
    </sheetView>
  </sheetViews>
  <sheetFormatPr defaultRowHeight="14.5" x14ac:dyDescent="0.35"/>
  <cols>
    <col min="1" max="1" width="10" customWidth="1"/>
    <col min="2" max="2" width="14" customWidth="1"/>
    <col min="3" max="3" width="52" customWidth="1"/>
    <col min="4" max="4" width="40" customWidth="1"/>
    <col min="5" max="5" width="11" customWidth="1"/>
    <col min="6" max="6" width="15" customWidth="1"/>
    <col min="7" max="7" width="34" customWidth="1"/>
    <col min="8" max="8" width="20" customWidth="1"/>
    <col min="9" max="9" width="16" customWidth="1"/>
    <col min="10" max="10" width="30" customWidth="1"/>
  </cols>
  <sheetData>
    <row r="1" spans="1:10" ht="32" customHeight="1" x14ac:dyDescent="0.35">
      <c r="A1" s="63" t="s">
        <v>1137</v>
      </c>
      <c r="B1" s="54"/>
      <c r="C1" s="54"/>
      <c r="D1" s="54"/>
      <c r="E1" s="54"/>
      <c r="F1" s="54"/>
      <c r="G1" s="54"/>
      <c r="H1" s="54"/>
      <c r="I1" s="54"/>
      <c r="J1" s="54"/>
    </row>
    <row r="2" spans="1:10" ht="22" customHeight="1" x14ac:dyDescent="0.35">
      <c r="A2" s="64" t="s">
        <v>1138</v>
      </c>
      <c r="B2" s="54"/>
      <c r="C2" s="54"/>
      <c r="D2" s="54"/>
      <c r="E2" s="54"/>
      <c r="F2" s="54"/>
      <c r="G2" s="54"/>
      <c r="H2" s="54"/>
      <c r="I2" s="54"/>
      <c r="J2" s="54"/>
    </row>
    <row r="4" spans="1:10" ht="30" customHeight="1" x14ac:dyDescent="0.35">
      <c r="A4" s="67" t="s">
        <v>1139</v>
      </c>
      <c r="B4" s="67"/>
      <c r="C4" s="35" t="str">
        <f>IF(SUMPRODUCT(($E$7:$E$34="Yes")*(($F$7:$F$34="Not Met")+($F$7:$F$34="Partially Met")))&gt;0,"NO-GO",IF(SUMPRODUCT(($E$7:$E$34="Yes")*($F$7:$F$34=""))&gt;0,"PENDING","GO"))</f>
        <v>PENDING</v>
      </c>
      <c r="D4" s="68" t="str">
        <f>"Blocking criteria: "&amp;COUNTIF($E$7:$E$34,"Yes")&amp;"  |  Met: "&amp;COUNTIFS($E$7:$E$34,"Yes",$F$7:$F$34,"Met")&amp;"  |  Not / Partially Met: "&amp;(COUNTIFS($E$7:$E$34,"Yes",$F$7:$F$34,"Not Met")+COUNTIFS($E$7:$E$34,"Yes",$F$7:$F$34,"Partially Met"))&amp;"  |  Unanswered: "&amp;SUMPRODUCT(($E$7:$E$34="Yes")*($F$7:$F$34=""))</f>
        <v>Blocking criteria: 20  |  Met: 0  |  Not / Partially Met: 0  |  Unanswered: 20</v>
      </c>
      <c r="E4" s="56"/>
      <c r="F4" s="56"/>
      <c r="G4" s="56"/>
    </row>
    <row r="6" spans="1:10" ht="34" customHeight="1" x14ac:dyDescent="0.35">
      <c r="A6" s="3" t="s">
        <v>217</v>
      </c>
      <c r="B6" s="3" t="s">
        <v>218</v>
      </c>
      <c r="C6" s="3" t="s">
        <v>1140</v>
      </c>
      <c r="D6" s="3" t="s">
        <v>1141</v>
      </c>
      <c r="E6" s="3" t="s">
        <v>1142</v>
      </c>
      <c r="F6" s="3" t="s">
        <v>76</v>
      </c>
      <c r="G6" s="3" t="s">
        <v>1143</v>
      </c>
      <c r="H6" s="3" t="s">
        <v>575</v>
      </c>
      <c r="I6" s="3" t="s">
        <v>227</v>
      </c>
      <c r="J6" s="3" t="s">
        <v>1144</v>
      </c>
    </row>
    <row r="7" spans="1:10" ht="20" customHeight="1" x14ac:dyDescent="0.35">
      <c r="A7" s="65" t="s">
        <v>1145</v>
      </c>
      <c r="B7" s="66"/>
      <c r="C7" s="66"/>
      <c r="D7" s="66"/>
      <c r="E7" s="66"/>
      <c r="F7" s="66"/>
      <c r="G7" s="66"/>
      <c r="H7" s="66"/>
      <c r="I7" s="66"/>
      <c r="J7" s="66"/>
    </row>
    <row r="8" spans="1:10" ht="32" customHeight="1" x14ac:dyDescent="0.35">
      <c r="A8" s="18" t="s">
        <v>1146</v>
      </c>
      <c r="B8" s="18" t="s">
        <v>1147</v>
      </c>
      <c r="C8" s="19" t="s">
        <v>1148</v>
      </c>
      <c r="D8" s="19" t="s">
        <v>1149</v>
      </c>
      <c r="E8" s="18" t="s">
        <v>1150</v>
      </c>
      <c r="F8" s="18"/>
      <c r="G8" s="19" t="str">
        <f>COUNTIF('Findings &amp; Remediation'!$K$5:$K$64,"Critical")-COUNTIFS('Findings &amp; Remediation'!$K$5:$K$64,"Critical",'Findings &amp; Remediation'!$R$5:$R$64,"Closed")-COUNTIFS('Findings &amp; Remediation'!$K$5:$K$64,"Critical",'Findings &amp; Remediation'!$R$5:$R$64,"Risk Accepted")&amp;" open Critical finding(s)"</f>
        <v>0 open Critical finding(s)</v>
      </c>
      <c r="H8" s="19"/>
      <c r="I8" s="27" t="s">
        <v>237</v>
      </c>
      <c r="J8" s="19"/>
    </row>
    <row r="9" spans="1:10" ht="32" customHeight="1" x14ac:dyDescent="0.35">
      <c r="A9" s="21" t="s">
        <v>1151</v>
      </c>
      <c r="B9" s="21" t="s">
        <v>1147</v>
      </c>
      <c r="C9" s="22" t="s">
        <v>1152</v>
      </c>
      <c r="D9" s="22" t="s">
        <v>1153</v>
      </c>
      <c r="E9" s="21" t="s">
        <v>1150</v>
      </c>
      <c r="F9" s="21"/>
      <c r="G9" s="22" t="str">
        <f>COUNTIF('Findings &amp; Remediation'!$K$5:$K$64,"High")-COUNTIFS('Findings &amp; Remediation'!$K$5:$K$64,"High",'Findings &amp; Remediation'!$R$5:$R$64,"Closed")-COUNTIFS('Findings &amp; Remediation'!$K$5:$K$64,"High",'Findings &amp; Remediation'!$R$5:$R$64,"Risk Accepted")&amp;" open High finding(s)"</f>
        <v>0 open High finding(s)</v>
      </c>
      <c r="H9" s="22"/>
      <c r="I9" s="31" t="s">
        <v>237</v>
      </c>
      <c r="J9" s="22"/>
    </row>
    <row r="10" spans="1:10" ht="30" customHeight="1" x14ac:dyDescent="0.35">
      <c r="A10" s="18" t="s">
        <v>1154</v>
      </c>
      <c r="B10" s="18" t="s">
        <v>1147</v>
      </c>
      <c r="C10" s="19" t="s">
        <v>1155</v>
      </c>
      <c r="D10" s="19" t="s">
        <v>1156</v>
      </c>
      <c r="E10" s="18" t="s">
        <v>1150</v>
      </c>
      <c r="F10" s="18"/>
      <c r="G10" s="19" t="str">
        <f>"Pass "&amp;COUNTIF('Traffic Flow Matrix'!$J$5:$J$28,"Pass")&amp;" | Fail "&amp;COUNTIF('Traffic Flow Matrix'!$J$5:$J$28,"Fail")&amp;" | Not tested "&amp;COUNTIF('Traffic Flow Matrix'!$J$5:$J$28,"Not Tested")</f>
        <v>Pass 0 | Fail 0 | Not tested 16</v>
      </c>
      <c r="H10" s="19"/>
      <c r="I10" s="27" t="s">
        <v>237</v>
      </c>
      <c r="J10" s="19"/>
    </row>
    <row r="11" spans="1:10" ht="30" customHeight="1" x14ac:dyDescent="0.35">
      <c r="A11" s="21" t="s">
        <v>1157</v>
      </c>
      <c r="B11" s="21" t="s">
        <v>1147</v>
      </c>
      <c r="C11" s="22" t="s">
        <v>1158</v>
      </c>
      <c r="D11" s="22" t="s">
        <v>1159</v>
      </c>
      <c r="E11" s="21" t="s">
        <v>1150</v>
      </c>
      <c r="F11" s="21"/>
      <c r="G11" s="22"/>
      <c r="H11" s="22"/>
      <c r="I11" s="31" t="s">
        <v>237</v>
      </c>
      <c r="J11" s="22"/>
    </row>
    <row r="12" spans="1:10" ht="30" customHeight="1" x14ac:dyDescent="0.35">
      <c r="A12" s="18" t="s">
        <v>1160</v>
      </c>
      <c r="B12" s="18" t="s">
        <v>1147</v>
      </c>
      <c r="C12" s="19" t="s">
        <v>1161</v>
      </c>
      <c r="D12" s="19" t="s">
        <v>1162</v>
      </c>
      <c r="E12" s="18" t="s">
        <v>1150</v>
      </c>
      <c r="F12" s="18"/>
      <c r="G12" s="19"/>
      <c r="H12" s="19"/>
      <c r="I12" s="27" t="s">
        <v>237</v>
      </c>
      <c r="J12" s="19"/>
    </row>
    <row r="13" spans="1:10" ht="32" customHeight="1" x14ac:dyDescent="0.35">
      <c r="A13" s="21" t="s">
        <v>1163</v>
      </c>
      <c r="B13" s="21" t="s">
        <v>1147</v>
      </c>
      <c r="C13" s="22" t="s">
        <v>1164</v>
      </c>
      <c r="D13" s="22" t="s">
        <v>1165</v>
      </c>
      <c r="E13" s="21" t="s">
        <v>1150</v>
      </c>
      <c r="F13" s="21"/>
      <c r="G13" s="22" t="str">
        <f>"Pass "&amp;COUNTIF('UAT Failover Scenarios'!$J$5:$J$26,"Pass")&amp;" | Fail "&amp;COUNTIF('UAT Failover Scenarios'!$J$5:$J$26,"Fail")&amp;" | Not tested "&amp;COUNTIF('UAT Failover Scenarios'!$J$5:$J$26,"Not Tested")</f>
        <v>Pass 0 | Fail 0 | Not tested 16</v>
      </c>
      <c r="H13" s="22"/>
      <c r="I13" s="31" t="s">
        <v>237</v>
      </c>
      <c r="J13" s="22"/>
    </row>
    <row r="14" spans="1:10" ht="32" customHeight="1" x14ac:dyDescent="0.35">
      <c r="A14" s="18" t="s">
        <v>1166</v>
      </c>
      <c r="B14" s="18" t="s">
        <v>1147</v>
      </c>
      <c r="C14" s="19" t="s">
        <v>1167</v>
      </c>
      <c r="D14" s="19" t="s">
        <v>1168</v>
      </c>
      <c r="E14" s="18" t="s">
        <v>1150</v>
      </c>
      <c r="F14" s="18"/>
      <c r="G14" s="19"/>
      <c r="H14" s="19"/>
      <c r="I14" s="27" t="s">
        <v>237</v>
      </c>
      <c r="J14" s="19"/>
    </row>
    <row r="15" spans="1:10" ht="32" customHeight="1" x14ac:dyDescent="0.35">
      <c r="A15" s="21" t="s">
        <v>1169</v>
      </c>
      <c r="B15" s="21" t="s">
        <v>1147</v>
      </c>
      <c r="C15" s="22" t="s">
        <v>1170</v>
      </c>
      <c r="D15" s="22" t="s">
        <v>1171</v>
      </c>
      <c r="E15" s="21" t="s">
        <v>1150</v>
      </c>
      <c r="F15" s="21"/>
      <c r="G15" s="22"/>
      <c r="H15" s="22"/>
      <c r="I15" s="31" t="s">
        <v>237</v>
      </c>
      <c r="J15" s="22"/>
    </row>
    <row r="16" spans="1:10" ht="32" customHeight="1" x14ac:dyDescent="0.35">
      <c r="A16" s="18" t="s">
        <v>1172</v>
      </c>
      <c r="B16" s="18" t="s">
        <v>1147</v>
      </c>
      <c r="C16" s="19" t="s">
        <v>1173</v>
      </c>
      <c r="D16" s="19" t="s">
        <v>1174</v>
      </c>
      <c r="E16" s="18" t="s">
        <v>1150</v>
      </c>
      <c r="F16" s="18"/>
      <c r="G16" s="19"/>
      <c r="H16" s="19"/>
      <c r="I16" s="27" t="s">
        <v>237</v>
      </c>
      <c r="J16" s="19"/>
    </row>
    <row r="17" spans="1:10" ht="20" customHeight="1" x14ac:dyDescent="0.35">
      <c r="A17" s="65" t="s">
        <v>1175</v>
      </c>
      <c r="B17" s="66"/>
      <c r="C17" s="66"/>
      <c r="D17" s="66"/>
      <c r="E17" s="66"/>
      <c r="F17" s="66"/>
      <c r="G17" s="66"/>
      <c r="H17" s="66"/>
      <c r="I17" s="66"/>
      <c r="J17" s="66"/>
    </row>
    <row r="18" spans="1:10" ht="32" customHeight="1" x14ac:dyDescent="0.35">
      <c r="A18" s="21" t="s">
        <v>1176</v>
      </c>
      <c r="B18" s="21" t="s">
        <v>1177</v>
      </c>
      <c r="C18" s="22" t="s">
        <v>1178</v>
      </c>
      <c r="D18" s="22" t="s">
        <v>1179</v>
      </c>
      <c r="E18" s="21" t="s">
        <v>1150</v>
      </c>
      <c r="F18" s="21"/>
      <c r="G18" s="22"/>
      <c r="H18" s="22"/>
      <c r="I18" s="31" t="s">
        <v>237</v>
      </c>
      <c r="J18" s="22"/>
    </row>
    <row r="19" spans="1:10" ht="32" customHeight="1" x14ac:dyDescent="0.35">
      <c r="A19" s="18" t="s">
        <v>1180</v>
      </c>
      <c r="B19" s="18" t="s">
        <v>1177</v>
      </c>
      <c r="C19" s="19" t="s">
        <v>1181</v>
      </c>
      <c r="D19" s="19" t="s">
        <v>1182</v>
      </c>
      <c r="E19" s="18" t="s">
        <v>1150</v>
      </c>
      <c r="F19" s="18"/>
      <c r="G19" s="19"/>
      <c r="H19" s="19"/>
      <c r="I19" s="27" t="s">
        <v>237</v>
      </c>
      <c r="J19" s="19"/>
    </row>
    <row r="20" spans="1:10" ht="20" customHeight="1" x14ac:dyDescent="0.35">
      <c r="A20" s="65" t="s">
        <v>1183</v>
      </c>
      <c r="B20" s="66"/>
      <c r="C20" s="66"/>
      <c r="D20" s="66"/>
      <c r="E20" s="66"/>
      <c r="F20" s="66"/>
      <c r="G20" s="66"/>
      <c r="H20" s="66"/>
      <c r="I20" s="66"/>
      <c r="J20" s="66"/>
    </row>
    <row r="21" spans="1:10" ht="32" customHeight="1" x14ac:dyDescent="0.35">
      <c r="A21" s="21" t="s">
        <v>1184</v>
      </c>
      <c r="B21" s="21" t="s">
        <v>1185</v>
      </c>
      <c r="C21" s="22" t="s">
        <v>1186</v>
      </c>
      <c r="D21" s="22" t="s">
        <v>1187</v>
      </c>
      <c r="E21" s="21" t="s">
        <v>1150</v>
      </c>
      <c r="F21" s="21"/>
      <c r="G21" s="22"/>
      <c r="H21" s="22"/>
      <c r="I21" s="31" t="s">
        <v>237</v>
      </c>
      <c r="J21" s="22"/>
    </row>
    <row r="22" spans="1:10" ht="30" customHeight="1" x14ac:dyDescent="0.35">
      <c r="A22" s="18" t="s">
        <v>1188</v>
      </c>
      <c r="B22" s="18" t="s">
        <v>1185</v>
      </c>
      <c r="C22" s="19" t="s">
        <v>1189</v>
      </c>
      <c r="D22" s="19" t="s">
        <v>1190</v>
      </c>
      <c r="E22" s="18" t="s">
        <v>1150</v>
      </c>
      <c r="F22" s="18"/>
      <c r="G22" s="19"/>
      <c r="H22" s="19"/>
      <c r="I22" s="27" t="s">
        <v>237</v>
      </c>
      <c r="J22" s="19"/>
    </row>
    <row r="23" spans="1:10" ht="32" customHeight="1" x14ac:dyDescent="0.35">
      <c r="A23" s="21" t="s">
        <v>1191</v>
      </c>
      <c r="B23" s="21" t="s">
        <v>1185</v>
      </c>
      <c r="C23" s="22" t="s">
        <v>1192</v>
      </c>
      <c r="D23" s="22" t="s">
        <v>1193</v>
      </c>
      <c r="E23" s="21" t="s">
        <v>1150</v>
      </c>
      <c r="F23" s="21"/>
      <c r="G23" s="22"/>
      <c r="H23" s="22"/>
      <c r="I23" s="31" t="s">
        <v>237</v>
      </c>
      <c r="J23" s="22"/>
    </row>
    <row r="24" spans="1:10" ht="30" customHeight="1" x14ac:dyDescent="0.35">
      <c r="A24" s="18" t="s">
        <v>1194</v>
      </c>
      <c r="B24" s="18" t="s">
        <v>1185</v>
      </c>
      <c r="C24" s="19" t="s">
        <v>1195</v>
      </c>
      <c r="D24" s="19" t="s">
        <v>1196</v>
      </c>
      <c r="E24" s="18" t="s">
        <v>1150</v>
      </c>
      <c r="F24" s="18"/>
      <c r="G24" s="19"/>
      <c r="H24" s="19"/>
      <c r="I24" s="27" t="s">
        <v>237</v>
      </c>
      <c r="J24" s="19"/>
    </row>
    <row r="25" spans="1:10" ht="30" customHeight="1" x14ac:dyDescent="0.35">
      <c r="A25" s="21" t="s">
        <v>1197</v>
      </c>
      <c r="B25" s="21" t="s">
        <v>1185</v>
      </c>
      <c r="C25" s="22" t="s">
        <v>1198</v>
      </c>
      <c r="D25" s="22" t="s">
        <v>1199</v>
      </c>
      <c r="E25" s="21" t="s">
        <v>1150</v>
      </c>
      <c r="F25" s="21"/>
      <c r="G25" s="22"/>
      <c r="H25" s="22"/>
      <c r="I25" s="31" t="s">
        <v>237</v>
      </c>
      <c r="J25" s="22"/>
    </row>
    <row r="26" spans="1:10" ht="30" customHeight="1" x14ac:dyDescent="0.35">
      <c r="A26" s="18" t="s">
        <v>1200</v>
      </c>
      <c r="B26" s="18" t="s">
        <v>1185</v>
      </c>
      <c r="C26" s="19" t="s">
        <v>1201</v>
      </c>
      <c r="D26" s="19" t="s">
        <v>1202</v>
      </c>
      <c r="E26" s="18" t="s">
        <v>1203</v>
      </c>
      <c r="F26" s="18"/>
      <c r="G26" s="19"/>
      <c r="H26" s="19"/>
      <c r="I26" s="27" t="s">
        <v>237</v>
      </c>
      <c r="J26" s="19"/>
    </row>
    <row r="27" spans="1:10" ht="20" customHeight="1" x14ac:dyDescent="0.35">
      <c r="A27" s="65" t="s">
        <v>1204</v>
      </c>
      <c r="B27" s="66"/>
      <c r="C27" s="66"/>
      <c r="D27" s="66"/>
      <c r="E27" s="66"/>
      <c r="F27" s="66"/>
      <c r="G27" s="66"/>
      <c r="H27" s="66"/>
      <c r="I27" s="66"/>
      <c r="J27" s="66"/>
    </row>
    <row r="28" spans="1:10" ht="30" customHeight="1" x14ac:dyDescent="0.35">
      <c r="A28" s="21" t="s">
        <v>1205</v>
      </c>
      <c r="B28" s="21" t="s">
        <v>1206</v>
      </c>
      <c r="C28" s="22" t="s">
        <v>1207</v>
      </c>
      <c r="D28" s="22" t="s">
        <v>1208</v>
      </c>
      <c r="E28" s="21" t="s">
        <v>1150</v>
      </c>
      <c r="F28" s="21"/>
      <c r="G28" s="22"/>
      <c r="H28" s="22"/>
      <c r="I28" s="31" t="s">
        <v>237</v>
      </c>
      <c r="J28" s="22"/>
    </row>
    <row r="29" spans="1:10" ht="30" customHeight="1" x14ac:dyDescent="0.35">
      <c r="A29" s="18" t="s">
        <v>1209</v>
      </c>
      <c r="B29" s="18" t="s">
        <v>1206</v>
      </c>
      <c r="C29" s="19" t="s">
        <v>1210</v>
      </c>
      <c r="D29" s="19" t="s">
        <v>1211</v>
      </c>
      <c r="E29" s="18" t="s">
        <v>1203</v>
      </c>
      <c r="F29" s="18"/>
      <c r="G29" s="19"/>
      <c r="H29" s="19"/>
      <c r="I29" s="27" t="s">
        <v>237</v>
      </c>
      <c r="J29" s="19"/>
    </row>
    <row r="30" spans="1:10" ht="30" customHeight="1" x14ac:dyDescent="0.35">
      <c r="A30" s="21" t="s">
        <v>1212</v>
      </c>
      <c r="B30" s="21" t="s">
        <v>1206</v>
      </c>
      <c r="C30" s="22" t="s">
        <v>1213</v>
      </c>
      <c r="D30" s="22" t="s">
        <v>1214</v>
      </c>
      <c r="E30" s="21" t="s">
        <v>1150</v>
      </c>
      <c r="F30" s="21"/>
      <c r="G30" s="22"/>
      <c r="H30" s="22"/>
      <c r="I30" s="31" t="s">
        <v>237</v>
      </c>
      <c r="J30" s="22"/>
    </row>
    <row r="31" spans="1:10" ht="30" customHeight="1" x14ac:dyDescent="0.35">
      <c r="A31" s="18" t="s">
        <v>1215</v>
      </c>
      <c r="B31" s="18" t="s">
        <v>1206</v>
      </c>
      <c r="C31" s="19" t="s">
        <v>1216</v>
      </c>
      <c r="D31" s="19" t="s">
        <v>1217</v>
      </c>
      <c r="E31" s="18" t="s">
        <v>1203</v>
      </c>
      <c r="F31" s="18"/>
      <c r="G31" s="19"/>
      <c r="H31" s="19"/>
      <c r="I31" s="27" t="s">
        <v>237</v>
      </c>
      <c r="J31" s="19"/>
    </row>
    <row r="32" spans="1:10" ht="20" customHeight="1" x14ac:dyDescent="0.35">
      <c r="A32" s="65" t="s">
        <v>1218</v>
      </c>
      <c r="B32" s="66"/>
      <c r="C32" s="66"/>
      <c r="D32" s="66"/>
      <c r="E32" s="66"/>
      <c r="F32" s="66"/>
      <c r="G32" s="66"/>
      <c r="H32" s="66"/>
      <c r="I32" s="66"/>
      <c r="J32" s="66"/>
    </row>
    <row r="33" spans="1:10" ht="32" customHeight="1" x14ac:dyDescent="0.35">
      <c r="A33" s="21" t="s">
        <v>1219</v>
      </c>
      <c r="B33" s="21" t="s">
        <v>1220</v>
      </c>
      <c r="C33" s="22" t="s">
        <v>1221</v>
      </c>
      <c r="D33" s="22" t="s">
        <v>1222</v>
      </c>
      <c r="E33" s="21" t="s">
        <v>1150</v>
      </c>
      <c r="F33" s="21"/>
      <c r="G33" s="22"/>
      <c r="H33" s="22"/>
      <c r="I33" s="31" t="s">
        <v>237</v>
      </c>
      <c r="J33" s="22"/>
    </row>
    <row r="34" spans="1:10" ht="30" customHeight="1" x14ac:dyDescent="0.35">
      <c r="A34" s="18" t="s">
        <v>1223</v>
      </c>
      <c r="B34" s="18" t="s">
        <v>1220</v>
      </c>
      <c r="C34" s="19" t="s">
        <v>1224</v>
      </c>
      <c r="D34" s="19" t="s">
        <v>1225</v>
      </c>
      <c r="E34" s="18" t="s">
        <v>1150</v>
      </c>
      <c r="F34" s="18"/>
      <c r="G34" s="19"/>
      <c r="H34" s="19"/>
      <c r="I34" s="27" t="s">
        <v>237</v>
      </c>
      <c r="J34" s="19"/>
    </row>
  </sheetData>
  <mergeCells count="9">
    <mergeCell ref="A4:B4"/>
    <mergeCell ref="A1:J1"/>
    <mergeCell ref="A32:J32"/>
    <mergeCell ref="A17:J17"/>
    <mergeCell ref="A27:J27"/>
    <mergeCell ref="A7:J7"/>
    <mergeCell ref="A20:J20"/>
    <mergeCell ref="A2:J2"/>
    <mergeCell ref="D4:G4"/>
  </mergeCells>
  <conditionalFormatting sqref="C4">
    <cfRule type="expression" dxfId="43" priority="4">
      <formula>$C$4="NO-GO"</formula>
    </cfRule>
    <cfRule type="expression" dxfId="42" priority="5">
      <formula>$C$4="PENDING"</formula>
    </cfRule>
    <cfRule type="expression" dxfId="41" priority="6">
      <formula>$C$4="GO"</formula>
    </cfRule>
  </conditionalFormatting>
  <conditionalFormatting sqref="F7:F34">
    <cfRule type="expression" dxfId="40" priority="1">
      <formula>$F7="Not Met"</formula>
    </cfRule>
    <cfRule type="expression" dxfId="39" priority="2">
      <formula>$F7="Partially Met"</formula>
    </cfRule>
    <cfRule type="expression" dxfId="38" priority="3">
      <formula>$F7="Met"</formula>
    </cfRule>
  </conditionalFormatting>
  <dataValidations count="2">
    <dataValidation type="list" allowBlank="1" showErrorMessage="1" errorTitle="Invalid Entry" error="Select a value from the list." sqref="E7:E34" xr:uid="{00000000-0002-0000-0900-000000000000}">
      <formula1>"Yes,No"</formula1>
    </dataValidation>
    <dataValidation type="list" allowBlank="1" showErrorMessage="1" errorTitle="Invalid Entry" error="Select a value from the list." sqref="F7:F34" xr:uid="{00000000-0002-0000-0900-000001000000}">
      <formula1>"Met,Partially Met,Not Met,N/A"</formula1>
    </dataValidation>
  </dataValidations>
  <pageMargins left="0.75" right="0.75" top="1" bottom="1" header="0.5" footer="0.5"/>
  <pageSetup fitToHeight="0"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00000"/>
    <pageSetUpPr fitToPage="1"/>
  </sheetPr>
  <dimension ref="A1:O40"/>
  <sheetViews>
    <sheetView showGridLines="0" workbookViewId="0">
      <pane xSplit="3" ySplit="4" topLeftCell="D5" activePane="bottomRight" state="frozen"/>
      <selection pane="topRight"/>
      <selection pane="bottomLeft"/>
      <selection pane="bottomRight"/>
    </sheetView>
  </sheetViews>
  <sheetFormatPr defaultRowHeight="14.5" x14ac:dyDescent="0.35"/>
  <cols>
    <col min="1" max="1" width="8" customWidth="1"/>
    <col min="2" max="2" width="20" customWidth="1"/>
    <col min="3" max="3" width="52" customWidth="1"/>
    <col min="4" max="4" width="20" customWidth="1"/>
    <col min="5" max="5" width="16" customWidth="1"/>
    <col min="6" max="6" width="10" customWidth="1"/>
    <col min="7" max="7" width="9" customWidth="1"/>
    <col min="8" max="8" width="8" customWidth="1"/>
    <col min="9" max="9" width="10" customWidth="1"/>
    <col min="10" max="10" width="46" customWidth="1"/>
    <col min="11" max="11" width="16" customWidth="1"/>
    <col min="12" max="12" width="14" customWidth="1"/>
    <col min="13" max="13" width="18" customWidth="1"/>
    <col min="14" max="14" width="26" customWidth="1"/>
    <col min="15" max="15" width="22" customWidth="1"/>
  </cols>
  <sheetData>
    <row r="1" spans="1:15" ht="32" customHeight="1" x14ac:dyDescent="0.35">
      <c r="A1" s="63" t="s">
        <v>1226</v>
      </c>
      <c r="B1" s="54"/>
      <c r="C1" s="54"/>
      <c r="D1" s="54"/>
      <c r="E1" s="54"/>
      <c r="F1" s="54"/>
      <c r="G1" s="54"/>
      <c r="H1" s="54"/>
      <c r="I1" s="54"/>
      <c r="J1" s="54"/>
      <c r="K1" s="54"/>
      <c r="L1" s="54"/>
      <c r="M1" s="54"/>
      <c r="N1" s="54"/>
      <c r="O1" s="54"/>
    </row>
    <row r="2" spans="1:15" ht="22" customHeight="1" x14ac:dyDescent="0.35">
      <c r="A2" s="64" t="s">
        <v>1227</v>
      </c>
      <c r="B2" s="54"/>
      <c r="C2" s="54"/>
      <c r="D2" s="54"/>
      <c r="E2" s="54"/>
      <c r="F2" s="54"/>
      <c r="G2" s="54"/>
      <c r="H2" s="54"/>
      <c r="I2" s="54"/>
      <c r="J2" s="54"/>
      <c r="K2" s="54"/>
      <c r="L2" s="54"/>
      <c r="M2" s="54"/>
      <c r="N2" s="54"/>
      <c r="O2" s="54"/>
    </row>
    <row r="4" spans="1:15" ht="44" customHeight="1" x14ac:dyDescent="0.35">
      <c r="A4" s="3" t="s">
        <v>1228</v>
      </c>
      <c r="B4" s="3" t="s">
        <v>1229</v>
      </c>
      <c r="C4" s="3" t="s">
        <v>1230</v>
      </c>
      <c r="D4" s="3" t="s">
        <v>1231</v>
      </c>
      <c r="E4" s="3" t="s">
        <v>803</v>
      </c>
      <c r="F4" s="3" t="s">
        <v>1232</v>
      </c>
      <c r="G4" s="3" t="s">
        <v>1233</v>
      </c>
      <c r="H4" s="3" t="s">
        <v>1234</v>
      </c>
      <c r="I4" s="3" t="s">
        <v>1235</v>
      </c>
      <c r="J4" s="3" t="s">
        <v>1236</v>
      </c>
      <c r="K4" s="3" t="s">
        <v>1237</v>
      </c>
      <c r="L4" s="3" t="s">
        <v>1238</v>
      </c>
      <c r="M4" s="3" t="s">
        <v>76</v>
      </c>
      <c r="N4" s="3" t="s">
        <v>1239</v>
      </c>
      <c r="O4" s="3" t="s">
        <v>94</v>
      </c>
    </row>
    <row r="5" spans="1:15" ht="44" customHeight="1" x14ac:dyDescent="0.35">
      <c r="A5" s="18" t="s">
        <v>1240</v>
      </c>
      <c r="B5" s="19" t="s">
        <v>1241</v>
      </c>
      <c r="C5" s="19" t="s">
        <v>1242</v>
      </c>
      <c r="D5" s="19" t="s">
        <v>1243</v>
      </c>
      <c r="E5" s="19" t="s">
        <v>981</v>
      </c>
      <c r="F5" s="25"/>
      <c r="G5" s="25"/>
      <c r="H5" s="18" t="str">
        <f t="shared" ref="H5:H40" si="0">IF(OR(F5="",G5=""),"",F5*G5)</f>
        <v/>
      </c>
      <c r="I5" s="18" t="str">
        <f t="shared" ref="I5:I40" si="1">IF(H5="","",IF(H5&gt;=RISK_CRIT,"Critical",IF(H5&gt;=RISK_HIGH,"High",IF(H5&gt;=RISK_MED,"Medium","Low"))))</f>
        <v/>
      </c>
      <c r="J5" s="19" t="s">
        <v>1244</v>
      </c>
      <c r="K5" s="19"/>
      <c r="L5" s="18"/>
      <c r="M5" s="18" t="s">
        <v>1245</v>
      </c>
      <c r="N5" s="19"/>
      <c r="O5" s="19"/>
    </row>
    <row r="6" spans="1:15" ht="44" customHeight="1" x14ac:dyDescent="0.35">
      <c r="A6" s="21" t="s">
        <v>1246</v>
      </c>
      <c r="B6" s="22" t="s">
        <v>1247</v>
      </c>
      <c r="C6" s="22" t="s">
        <v>1248</v>
      </c>
      <c r="D6" s="22" t="s">
        <v>1249</v>
      </c>
      <c r="E6" s="22" t="s">
        <v>1250</v>
      </c>
      <c r="F6" s="29"/>
      <c r="G6" s="29"/>
      <c r="H6" s="21" t="str">
        <f t="shared" si="0"/>
        <v/>
      </c>
      <c r="I6" s="21" t="str">
        <f t="shared" si="1"/>
        <v/>
      </c>
      <c r="J6" s="22" t="s">
        <v>1251</v>
      </c>
      <c r="K6" s="22"/>
      <c r="L6" s="21"/>
      <c r="M6" s="21" t="s">
        <v>1245</v>
      </c>
      <c r="N6" s="22"/>
      <c r="O6" s="22"/>
    </row>
    <row r="7" spans="1:15" ht="32" customHeight="1" x14ac:dyDescent="0.35">
      <c r="A7" s="18" t="s">
        <v>1252</v>
      </c>
      <c r="B7" s="19" t="s">
        <v>1253</v>
      </c>
      <c r="C7" s="19" t="s">
        <v>1254</v>
      </c>
      <c r="D7" s="19" t="s">
        <v>1255</v>
      </c>
      <c r="E7" s="19" t="s">
        <v>1256</v>
      </c>
      <c r="F7" s="25"/>
      <c r="G7" s="25"/>
      <c r="H7" s="18" t="str">
        <f t="shared" si="0"/>
        <v/>
      </c>
      <c r="I7" s="18" t="str">
        <f t="shared" si="1"/>
        <v/>
      </c>
      <c r="J7" s="19" t="s">
        <v>1257</v>
      </c>
      <c r="K7" s="19"/>
      <c r="L7" s="18"/>
      <c r="M7" s="18" t="s">
        <v>1245</v>
      </c>
      <c r="N7" s="19"/>
      <c r="O7" s="19"/>
    </row>
    <row r="8" spans="1:15" ht="44" customHeight="1" x14ac:dyDescent="0.35">
      <c r="A8" s="21" t="s">
        <v>1258</v>
      </c>
      <c r="B8" s="22" t="s">
        <v>1259</v>
      </c>
      <c r="C8" s="22" t="s">
        <v>1260</v>
      </c>
      <c r="D8" s="22" t="s">
        <v>1261</v>
      </c>
      <c r="E8" s="22" t="s">
        <v>1262</v>
      </c>
      <c r="F8" s="29"/>
      <c r="G8" s="29"/>
      <c r="H8" s="21" t="str">
        <f t="shared" si="0"/>
        <v/>
      </c>
      <c r="I8" s="21" t="str">
        <f t="shared" si="1"/>
        <v/>
      </c>
      <c r="J8" s="22" t="s">
        <v>1263</v>
      </c>
      <c r="K8" s="22"/>
      <c r="L8" s="21"/>
      <c r="M8" s="21" t="s">
        <v>1245</v>
      </c>
      <c r="N8" s="22"/>
      <c r="O8" s="22"/>
    </row>
    <row r="9" spans="1:15" ht="32" customHeight="1" x14ac:dyDescent="0.35">
      <c r="A9" s="18" t="s">
        <v>1264</v>
      </c>
      <c r="B9" s="19" t="s">
        <v>1265</v>
      </c>
      <c r="C9" s="19" t="s">
        <v>1266</v>
      </c>
      <c r="D9" s="19" t="s">
        <v>1267</v>
      </c>
      <c r="E9" s="19" t="s">
        <v>1268</v>
      </c>
      <c r="F9" s="25"/>
      <c r="G9" s="25"/>
      <c r="H9" s="18" t="str">
        <f t="shared" si="0"/>
        <v/>
      </c>
      <c r="I9" s="18" t="str">
        <f t="shared" si="1"/>
        <v/>
      </c>
      <c r="J9" s="19" t="s">
        <v>1269</v>
      </c>
      <c r="K9" s="19"/>
      <c r="L9" s="18"/>
      <c r="M9" s="18" t="s">
        <v>1245</v>
      </c>
      <c r="N9" s="19"/>
      <c r="O9" s="19"/>
    </row>
    <row r="10" spans="1:15" ht="32" customHeight="1" x14ac:dyDescent="0.35">
      <c r="A10" s="21" t="s">
        <v>1270</v>
      </c>
      <c r="B10" s="22" t="s">
        <v>1271</v>
      </c>
      <c r="C10" s="22" t="s">
        <v>1272</v>
      </c>
      <c r="D10" s="22" t="s">
        <v>1273</v>
      </c>
      <c r="E10" s="22" t="s">
        <v>1274</v>
      </c>
      <c r="F10" s="29"/>
      <c r="G10" s="29"/>
      <c r="H10" s="21" t="str">
        <f t="shared" si="0"/>
        <v/>
      </c>
      <c r="I10" s="21" t="str">
        <f t="shared" si="1"/>
        <v/>
      </c>
      <c r="J10" s="22" t="s">
        <v>1275</v>
      </c>
      <c r="K10" s="22"/>
      <c r="L10" s="21"/>
      <c r="M10" s="21" t="s">
        <v>1245</v>
      </c>
      <c r="N10" s="22"/>
      <c r="O10" s="22"/>
    </row>
    <row r="11" spans="1:15" ht="32" customHeight="1" x14ac:dyDescent="0.35">
      <c r="A11" s="18" t="s">
        <v>1276</v>
      </c>
      <c r="B11" s="19" t="s">
        <v>1277</v>
      </c>
      <c r="C11" s="19" t="s">
        <v>1278</v>
      </c>
      <c r="D11" s="19" t="s">
        <v>1273</v>
      </c>
      <c r="E11" s="19" t="s">
        <v>1279</v>
      </c>
      <c r="F11" s="25"/>
      <c r="G11" s="25"/>
      <c r="H11" s="18" t="str">
        <f t="shared" si="0"/>
        <v/>
      </c>
      <c r="I11" s="18" t="str">
        <f t="shared" si="1"/>
        <v/>
      </c>
      <c r="J11" s="19" t="s">
        <v>1280</v>
      </c>
      <c r="K11" s="19"/>
      <c r="L11" s="18"/>
      <c r="M11" s="18" t="s">
        <v>1245</v>
      </c>
      <c r="N11" s="19"/>
      <c r="O11" s="19"/>
    </row>
    <row r="12" spans="1:15" ht="32" customHeight="1" x14ac:dyDescent="0.35">
      <c r="A12" s="21" t="s">
        <v>1281</v>
      </c>
      <c r="B12" s="22" t="s">
        <v>1282</v>
      </c>
      <c r="C12" s="22" t="s">
        <v>1283</v>
      </c>
      <c r="D12" s="22" t="s">
        <v>1284</v>
      </c>
      <c r="E12" s="22" t="s">
        <v>1285</v>
      </c>
      <c r="F12" s="29"/>
      <c r="G12" s="29"/>
      <c r="H12" s="21" t="str">
        <f t="shared" si="0"/>
        <v/>
      </c>
      <c r="I12" s="21" t="str">
        <f t="shared" si="1"/>
        <v/>
      </c>
      <c r="J12" s="22" t="s">
        <v>1286</v>
      </c>
      <c r="K12" s="22"/>
      <c r="L12" s="21"/>
      <c r="M12" s="21" t="s">
        <v>1245</v>
      </c>
      <c r="N12" s="22"/>
      <c r="O12" s="22"/>
    </row>
    <row r="13" spans="1:15" ht="32" customHeight="1" x14ac:dyDescent="0.35">
      <c r="A13" s="18" t="s">
        <v>1287</v>
      </c>
      <c r="B13" s="19" t="s">
        <v>1288</v>
      </c>
      <c r="C13" s="19" t="s">
        <v>1289</v>
      </c>
      <c r="D13" s="19" t="s">
        <v>1290</v>
      </c>
      <c r="E13" s="19" t="s">
        <v>1291</v>
      </c>
      <c r="F13" s="25"/>
      <c r="G13" s="25"/>
      <c r="H13" s="18" t="str">
        <f t="shared" si="0"/>
        <v/>
      </c>
      <c r="I13" s="18" t="str">
        <f t="shared" si="1"/>
        <v/>
      </c>
      <c r="J13" s="19" t="s">
        <v>1292</v>
      </c>
      <c r="K13" s="19"/>
      <c r="L13" s="18"/>
      <c r="M13" s="18" t="s">
        <v>1245</v>
      </c>
      <c r="N13" s="19"/>
      <c r="O13" s="19"/>
    </row>
    <row r="14" spans="1:15" ht="32" customHeight="1" x14ac:dyDescent="0.35">
      <c r="A14" s="21" t="s">
        <v>1293</v>
      </c>
      <c r="B14" s="22" t="s">
        <v>1294</v>
      </c>
      <c r="C14" s="22" t="s">
        <v>1295</v>
      </c>
      <c r="D14" s="22" t="s">
        <v>1296</v>
      </c>
      <c r="E14" s="22" t="s">
        <v>1297</v>
      </c>
      <c r="F14" s="29"/>
      <c r="G14" s="29"/>
      <c r="H14" s="21" t="str">
        <f t="shared" si="0"/>
        <v/>
      </c>
      <c r="I14" s="21" t="str">
        <f t="shared" si="1"/>
        <v/>
      </c>
      <c r="J14" s="22" t="s">
        <v>1298</v>
      </c>
      <c r="K14" s="22"/>
      <c r="L14" s="21"/>
      <c r="M14" s="21" t="s">
        <v>1245</v>
      </c>
      <c r="N14" s="22"/>
      <c r="O14" s="22"/>
    </row>
    <row r="15" spans="1:15" ht="44" customHeight="1" x14ac:dyDescent="0.35">
      <c r="A15" s="18" t="s">
        <v>1299</v>
      </c>
      <c r="B15" s="19" t="s">
        <v>1300</v>
      </c>
      <c r="C15" s="19" t="s">
        <v>1301</v>
      </c>
      <c r="D15" s="19" t="s">
        <v>1302</v>
      </c>
      <c r="E15" s="19" t="s">
        <v>355</v>
      </c>
      <c r="F15" s="25"/>
      <c r="G15" s="25"/>
      <c r="H15" s="18" t="str">
        <f t="shared" si="0"/>
        <v/>
      </c>
      <c r="I15" s="18" t="str">
        <f t="shared" si="1"/>
        <v/>
      </c>
      <c r="J15" s="19" t="s">
        <v>1303</v>
      </c>
      <c r="K15" s="19"/>
      <c r="L15" s="18"/>
      <c r="M15" s="18" t="s">
        <v>1245</v>
      </c>
      <c r="N15" s="19"/>
      <c r="O15" s="19"/>
    </row>
    <row r="16" spans="1:15" ht="32" customHeight="1" x14ac:dyDescent="0.35">
      <c r="A16" s="21" t="s">
        <v>1304</v>
      </c>
      <c r="B16" s="22" t="s">
        <v>1305</v>
      </c>
      <c r="C16" s="22" t="s">
        <v>1306</v>
      </c>
      <c r="D16" s="22" t="s">
        <v>1307</v>
      </c>
      <c r="E16" s="22" t="s">
        <v>427</v>
      </c>
      <c r="F16" s="29"/>
      <c r="G16" s="29"/>
      <c r="H16" s="21" t="str">
        <f t="shared" si="0"/>
        <v/>
      </c>
      <c r="I16" s="21" t="str">
        <f t="shared" si="1"/>
        <v/>
      </c>
      <c r="J16" s="22" t="s">
        <v>1308</v>
      </c>
      <c r="K16" s="22"/>
      <c r="L16" s="21"/>
      <c r="M16" s="21" t="s">
        <v>1245</v>
      </c>
      <c r="N16" s="22"/>
      <c r="O16" s="22"/>
    </row>
    <row r="17" spans="1:15" ht="44" customHeight="1" x14ac:dyDescent="0.35">
      <c r="A17" s="18" t="s">
        <v>1309</v>
      </c>
      <c r="B17" s="19" t="s">
        <v>1310</v>
      </c>
      <c r="C17" s="19" t="s">
        <v>1311</v>
      </c>
      <c r="D17" s="19" t="s">
        <v>1312</v>
      </c>
      <c r="E17" s="19" t="s">
        <v>1313</v>
      </c>
      <c r="F17" s="25"/>
      <c r="G17" s="25"/>
      <c r="H17" s="18" t="str">
        <f t="shared" si="0"/>
        <v/>
      </c>
      <c r="I17" s="18" t="str">
        <f t="shared" si="1"/>
        <v/>
      </c>
      <c r="J17" s="19" t="s">
        <v>1314</v>
      </c>
      <c r="K17" s="19"/>
      <c r="L17" s="18"/>
      <c r="M17" s="18" t="s">
        <v>1245</v>
      </c>
      <c r="N17" s="19"/>
      <c r="O17" s="19"/>
    </row>
    <row r="18" spans="1:15" ht="32" customHeight="1" x14ac:dyDescent="0.35">
      <c r="A18" s="21" t="s">
        <v>1315</v>
      </c>
      <c r="B18" s="22" t="s">
        <v>1316</v>
      </c>
      <c r="C18" s="22" t="s">
        <v>1317</v>
      </c>
      <c r="D18" s="22" t="s">
        <v>1318</v>
      </c>
      <c r="E18" s="22" t="s">
        <v>315</v>
      </c>
      <c r="F18" s="29"/>
      <c r="G18" s="29"/>
      <c r="H18" s="21" t="str">
        <f t="shared" si="0"/>
        <v/>
      </c>
      <c r="I18" s="21" t="str">
        <f t="shared" si="1"/>
        <v/>
      </c>
      <c r="J18" s="22" t="s">
        <v>1319</v>
      </c>
      <c r="K18" s="22"/>
      <c r="L18" s="21"/>
      <c r="M18" s="21" t="s">
        <v>1245</v>
      </c>
      <c r="N18" s="22"/>
      <c r="O18" s="22"/>
    </row>
    <row r="19" spans="1:15" ht="32" customHeight="1" x14ac:dyDescent="0.35">
      <c r="A19" s="18" t="s">
        <v>1320</v>
      </c>
      <c r="B19" s="19" t="s">
        <v>1321</v>
      </c>
      <c r="C19" s="19" t="s">
        <v>1322</v>
      </c>
      <c r="D19" s="19" t="s">
        <v>1323</v>
      </c>
      <c r="E19" s="19" t="s">
        <v>1324</v>
      </c>
      <c r="F19" s="25"/>
      <c r="G19" s="25"/>
      <c r="H19" s="18" t="str">
        <f t="shared" si="0"/>
        <v/>
      </c>
      <c r="I19" s="18" t="str">
        <f t="shared" si="1"/>
        <v/>
      </c>
      <c r="J19" s="19" t="s">
        <v>1325</v>
      </c>
      <c r="K19" s="19"/>
      <c r="L19" s="18"/>
      <c r="M19" s="18" t="s">
        <v>1245</v>
      </c>
      <c r="N19" s="19"/>
      <c r="O19" s="19"/>
    </row>
    <row r="20" spans="1:15" ht="32" customHeight="1" x14ac:dyDescent="0.35">
      <c r="A20" s="21" t="s">
        <v>1326</v>
      </c>
      <c r="B20" s="22" t="s">
        <v>1327</v>
      </c>
      <c r="C20" s="22" t="s">
        <v>1328</v>
      </c>
      <c r="D20" s="22" t="s">
        <v>1329</v>
      </c>
      <c r="E20" s="22" t="s">
        <v>1330</v>
      </c>
      <c r="F20" s="29"/>
      <c r="G20" s="29"/>
      <c r="H20" s="21" t="str">
        <f t="shared" si="0"/>
        <v/>
      </c>
      <c r="I20" s="21" t="str">
        <f t="shared" si="1"/>
        <v/>
      </c>
      <c r="J20" s="22" t="s">
        <v>1331</v>
      </c>
      <c r="K20" s="22"/>
      <c r="L20" s="21"/>
      <c r="M20" s="21" t="s">
        <v>1245</v>
      </c>
      <c r="N20" s="22"/>
      <c r="O20" s="22"/>
    </row>
    <row r="21" spans="1:15" ht="32" customHeight="1" x14ac:dyDescent="0.35">
      <c r="A21" s="18" t="s">
        <v>1332</v>
      </c>
      <c r="B21" s="19" t="s">
        <v>1333</v>
      </c>
      <c r="C21" s="19" t="s">
        <v>1334</v>
      </c>
      <c r="D21" s="19" t="s">
        <v>1335</v>
      </c>
      <c r="E21" s="19" t="s">
        <v>1045</v>
      </c>
      <c r="F21" s="25"/>
      <c r="G21" s="25"/>
      <c r="H21" s="18" t="str">
        <f t="shared" si="0"/>
        <v/>
      </c>
      <c r="I21" s="18" t="str">
        <f t="shared" si="1"/>
        <v/>
      </c>
      <c r="J21" s="19" t="s">
        <v>1336</v>
      </c>
      <c r="K21" s="19"/>
      <c r="L21" s="18"/>
      <c r="M21" s="18" t="s">
        <v>1245</v>
      </c>
      <c r="N21" s="19"/>
      <c r="O21" s="19"/>
    </row>
    <row r="22" spans="1:15" ht="32" customHeight="1" x14ac:dyDescent="0.35">
      <c r="A22" s="21" t="s">
        <v>1337</v>
      </c>
      <c r="B22" s="22" t="s">
        <v>1338</v>
      </c>
      <c r="C22" s="22" t="s">
        <v>1339</v>
      </c>
      <c r="D22" s="22" t="s">
        <v>1340</v>
      </c>
      <c r="E22" s="22" t="s">
        <v>1005</v>
      </c>
      <c r="F22" s="29"/>
      <c r="G22" s="29"/>
      <c r="H22" s="21" t="str">
        <f t="shared" si="0"/>
        <v/>
      </c>
      <c r="I22" s="21" t="str">
        <f t="shared" si="1"/>
        <v/>
      </c>
      <c r="J22" s="22" t="s">
        <v>1341</v>
      </c>
      <c r="K22" s="22"/>
      <c r="L22" s="21"/>
      <c r="M22" s="21" t="s">
        <v>1245</v>
      </c>
      <c r="N22" s="22"/>
      <c r="O22" s="22"/>
    </row>
    <row r="23" spans="1:15" ht="30" customHeight="1" x14ac:dyDescent="0.35">
      <c r="A23" s="18" t="s">
        <v>1342</v>
      </c>
      <c r="B23" s="19"/>
      <c r="C23" s="19"/>
      <c r="D23" s="19"/>
      <c r="E23" s="19"/>
      <c r="F23" s="25"/>
      <c r="G23" s="25"/>
      <c r="H23" s="18" t="str">
        <f t="shared" si="0"/>
        <v/>
      </c>
      <c r="I23" s="18" t="str">
        <f t="shared" si="1"/>
        <v/>
      </c>
      <c r="J23" s="19"/>
      <c r="K23" s="19"/>
      <c r="L23" s="18"/>
      <c r="M23" s="18"/>
      <c r="N23" s="19"/>
      <c r="O23" s="19"/>
    </row>
    <row r="24" spans="1:15" ht="30" customHeight="1" x14ac:dyDescent="0.35">
      <c r="A24" s="21" t="s">
        <v>1343</v>
      </c>
      <c r="B24" s="22"/>
      <c r="C24" s="22"/>
      <c r="D24" s="22"/>
      <c r="E24" s="22"/>
      <c r="F24" s="29"/>
      <c r="G24" s="29"/>
      <c r="H24" s="21" t="str">
        <f t="shared" si="0"/>
        <v/>
      </c>
      <c r="I24" s="21" t="str">
        <f t="shared" si="1"/>
        <v/>
      </c>
      <c r="J24" s="22"/>
      <c r="K24" s="22"/>
      <c r="L24" s="21"/>
      <c r="M24" s="21"/>
      <c r="N24" s="22"/>
      <c r="O24" s="22"/>
    </row>
    <row r="25" spans="1:15" ht="30" customHeight="1" x14ac:dyDescent="0.35">
      <c r="A25" s="18" t="s">
        <v>1344</v>
      </c>
      <c r="B25" s="19"/>
      <c r="C25" s="19"/>
      <c r="D25" s="19"/>
      <c r="E25" s="19"/>
      <c r="F25" s="25"/>
      <c r="G25" s="25"/>
      <c r="H25" s="18" t="str">
        <f t="shared" si="0"/>
        <v/>
      </c>
      <c r="I25" s="18" t="str">
        <f t="shared" si="1"/>
        <v/>
      </c>
      <c r="J25" s="19"/>
      <c r="K25" s="19"/>
      <c r="L25" s="18"/>
      <c r="M25" s="18"/>
      <c r="N25" s="19"/>
      <c r="O25" s="19"/>
    </row>
    <row r="26" spans="1:15" ht="30" customHeight="1" x14ac:dyDescent="0.35">
      <c r="A26" s="21" t="s">
        <v>1345</v>
      </c>
      <c r="B26" s="22"/>
      <c r="C26" s="22"/>
      <c r="D26" s="22"/>
      <c r="E26" s="22"/>
      <c r="F26" s="29"/>
      <c r="G26" s="29"/>
      <c r="H26" s="21" t="str">
        <f t="shared" si="0"/>
        <v/>
      </c>
      <c r="I26" s="21" t="str">
        <f t="shared" si="1"/>
        <v/>
      </c>
      <c r="J26" s="22"/>
      <c r="K26" s="22"/>
      <c r="L26" s="21"/>
      <c r="M26" s="21"/>
      <c r="N26" s="22"/>
      <c r="O26" s="22"/>
    </row>
    <row r="27" spans="1:15" ht="30" customHeight="1" x14ac:dyDescent="0.35">
      <c r="A27" s="18" t="s">
        <v>1346</v>
      </c>
      <c r="B27" s="19"/>
      <c r="C27" s="19"/>
      <c r="D27" s="19"/>
      <c r="E27" s="19"/>
      <c r="F27" s="25"/>
      <c r="G27" s="25"/>
      <c r="H27" s="18" t="str">
        <f t="shared" si="0"/>
        <v/>
      </c>
      <c r="I27" s="18" t="str">
        <f t="shared" si="1"/>
        <v/>
      </c>
      <c r="J27" s="19"/>
      <c r="K27" s="19"/>
      <c r="L27" s="18"/>
      <c r="M27" s="18"/>
      <c r="N27" s="19"/>
      <c r="O27" s="19"/>
    </row>
    <row r="28" spans="1:15" ht="30" customHeight="1" x14ac:dyDescent="0.35">
      <c r="A28" s="21" t="s">
        <v>1347</v>
      </c>
      <c r="B28" s="22"/>
      <c r="C28" s="22"/>
      <c r="D28" s="22"/>
      <c r="E28" s="22"/>
      <c r="F28" s="29"/>
      <c r="G28" s="29"/>
      <c r="H28" s="21" t="str">
        <f t="shared" si="0"/>
        <v/>
      </c>
      <c r="I28" s="21" t="str">
        <f t="shared" si="1"/>
        <v/>
      </c>
      <c r="J28" s="22"/>
      <c r="K28" s="22"/>
      <c r="L28" s="21"/>
      <c r="M28" s="21"/>
      <c r="N28" s="22"/>
      <c r="O28" s="22"/>
    </row>
    <row r="29" spans="1:15" ht="30" customHeight="1" x14ac:dyDescent="0.35">
      <c r="A29" s="18" t="s">
        <v>1348</v>
      </c>
      <c r="B29" s="19"/>
      <c r="C29" s="19"/>
      <c r="D29" s="19"/>
      <c r="E29" s="19"/>
      <c r="F29" s="25"/>
      <c r="G29" s="25"/>
      <c r="H29" s="18" t="str">
        <f t="shared" si="0"/>
        <v/>
      </c>
      <c r="I29" s="18" t="str">
        <f t="shared" si="1"/>
        <v/>
      </c>
      <c r="J29" s="19"/>
      <c r="K29" s="19"/>
      <c r="L29" s="18"/>
      <c r="M29" s="18"/>
      <c r="N29" s="19"/>
      <c r="O29" s="19"/>
    </row>
    <row r="30" spans="1:15" ht="30" customHeight="1" x14ac:dyDescent="0.35">
      <c r="A30" s="21" t="s">
        <v>1349</v>
      </c>
      <c r="B30" s="22"/>
      <c r="C30" s="22"/>
      <c r="D30" s="22"/>
      <c r="E30" s="22"/>
      <c r="F30" s="29"/>
      <c r="G30" s="29"/>
      <c r="H30" s="21" t="str">
        <f t="shared" si="0"/>
        <v/>
      </c>
      <c r="I30" s="21" t="str">
        <f t="shared" si="1"/>
        <v/>
      </c>
      <c r="J30" s="22"/>
      <c r="K30" s="22"/>
      <c r="L30" s="21"/>
      <c r="M30" s="21"/>
      <c r="N30" s="22"/>
      <c r="O30" s="22"/>
    </row>
    <row r="31" spans="1:15" ht="30" customHeight="1" x14ac:dyDescent="0.35">
      <c r="A31" s="18" t="s">
        <v>1350</v>
      </c>
      <c r="B31" s="19"/>
      <c r="C31" s="19"/>
      <c r="D31" s="19"/>
      <c r="E31" s="19"/>
      <c r="F31" s="25"/>
      <c r="G31" s="25"/>
      <c r="H31" s="18" t="str">
        <f t="shared" si="0"/>
        <v/>
      </c>
      <c r="I31" s="18" t="str">
        <f t="shared" si="1"/>
        <v/>
      </c>
      <c r="J31" s="19"/>
      <c r="K31" s="19"/>
      <c r="L31" s="18"/>
      <c r="M31" s="18"/>
      <c r="N31" s="19"/>
      <c r="O31" s="19"/>
    </row>
    <row r="32" spans="1:15" ht="30" customHeight="1" x14ac:dyDescent="0.35">
      <c r="A32" s="21" t="s">
        <v>1351</v>
      </c>
      <c r="B32" s="22"/>
      <c r="C32" s="22"/>
      <c r="D32" s="22"/>
      <c r="E32" s="22"/>
      <c r="F32" s="29"/>
      <c r="G32" s="29"/>
      <c r="H32" s="21" t="str">
        <f t="shared" si="0"/>
        <v/>
      </c>
      <c r="I32" s="21" t="str">
        <f t="shared" si="1"/>
        <v/>
      </c>
      <c r="J32" s="22"/>
      <c r="K32" s="22"/>
      <c r="L32" s="21"/>
      <c r="M32" s="21"/>
      <c r="N32" s="22"/>
      <c r="O32" s="22"/>
    </row>
    <row r="33" spans="1:15" ht="30" customHeight="1" x14ac:dyDescent="0.35">
      <c r="A33" s="18" t="s">
        <v>1352</v>
      </c>
      <c r="B33" s="19"/>
      <c r="C33" s="19"/>
      <c r="D33" s="19"/>
      <c r="E33" s="19"/>
      <c r="F33" s="25"/>
      <c r="G33" s="25"/>
      <c r="H33" s="18" t="str">
        <f t="shared" si="0"/>
        <v/>
      </c>
      <c r="I33" s="18" t="str">
        <f t="shared" si="1"/>
        <v/>
      </c>
      <c r="J33" s="19"/>
      <c r="K33" s="19"/>
      <c r="L33" s="18"/>
      <c r="M33" s="18"/>
      <c r="N33" s="19"/>
      <c r="O33" s="19"/>
    </row>
    <row r="34" spans="1:15" ht="30" customHeight="1" x14ac:dyDescent="0.35">
      <c r="A34" s="21" t="s">
        <v>1353</v>
      </c>
      <c r="B34" s="22"/>
      <c r="C34" s="22"/>
      <c r="D34" s="22"/>
      <c r="E34" s="22"/>
      <c r="F34" s="29"/>
      <c r="G34" s="29"/>
      <c r="H34" s="21" t="str">
        <f t="shared" si="0"/>
        <v/>
      </c>
      <c r="I34" s="21" t="str">
        <f t="shared" si="1"/>
        <v/>
      </c>
      <c r="J34" s="22"/>
      <c r="K34" s="22"/>
      <c r="L34" s="21"/>
      <c r="M34" s="21"/>
      <c r="N34" s="22"/>
      <c r="O34" s="22"/>
    </row>
    <row r="35" spans="1:15" ht="30" customHeight="1" x14ac:dyDescent="0.35">
      <c r="A35" s="18" t="s">
        <v>1354</v>
      </c>
      <c r="B35" s="19"/>
      <c r="C35" s="19"/>
      <c r="D35" s="19"/>
      <c r="E35" s="19"/>
      <c r="F35" s="25"/>
      <c r="G35" s="25"/>
      <c r="H35" s="18" t="str">
        <f t="shared" si="0"/>
        <v/>
      </c>
      <c r="I35" s="18" t="str">
        <f t="shared" si="1"/>
        <v/>
      </c>
      <c r="J35" s="19"/>
      <c r="K35" s="19"/>
      <c r="L35" s="18"/>
      <c r="M35" s="18"/>
      <c r="N35" s="19"/>
      <c r="O35" s="19"/>
    </row>
    <row r="36" spans="1:15" ht="30" customHeight="1" x14ac:dyDescent="0.35">
      <c r="A36" s="21" t="s">
        <v>1355</v>
      </c>
      <c r="B36" s="22"/>
      <c r="C36" s="22"/>
      <c r="D36" s="22"/>
      <c r="E36" s="22"/>
      <c r="F36" s="29"/>
      <c r="G36" s="29"/>
      <c r="H36" s="21" t="str">
        <f t="shared" si="0"/>
        <v/>
      </c>
      <c r="I36" s="21" t="str">
        <f t="shared" si="1"/>
        <v/>
      </c>
      <c r="J36" s="22"/>
      <c r="K36" s="22"/>
      <c r="L36" s="21"/>
      <c r="M36" s="21"/>
      <c r="N36" s="22"/>
      <c r="O36" s="22"/>
    </row>
    <row r="37" spans="1:15" ht="30" customHeight="1" x14ac:dyDescent="0.35">
      <c r="A37" s="18" t="s">
        <v>1356</v>
      </c>
      <c r="B37" s="19"/>
      <c r="C37" s="19"/>
      <c r="D37" s="19"/>
      <c r="E37" s="19"/>
      <c r="F37" s="25"/>
      <c r="G37" s="25"/>
      <c r="H37" s="18" t="str">
        <f t="shared" si="0"/>
        <v/>
      </c>
      <c r="I37" s="18" t="str">
        <f t="shared" si="1"/>
        <v/>
      </c>
      <c r="J37" s="19"/>
      <c r="K37" s="19"/>
      <c r="L37" s="18"/>
      <c r="M37" s="18"/>
      <c r="N37" s="19"/>
      <c r="O37" s="19"/>
    </row>
    <row r="38" spans="1:15" ht="30" customHeight="1" x14ac:dyDescent="0.35">
      <c r="A38" s="21" t="s">
        <v>1357</v>
      </c>
      <c r="B38" s="22"/>
      <c r="C38" s="22"/>
      <c r="D38" s="22"/>
      <c r="E38" s="22"/>
      <c r="F38" s="29"/>
      <c r="G38" s="29"/>
      <c r="H38" s="21" t="str">
        <f t="shared" si="0"/>
        <v/>
      </c>
      <c r="I38" s="21" t="str">
        <f t="shared" si="1"/>
        <v/>
      </c>
      <c r="J38" s="22"/>
      <c r="K38" s="22"/>
      <c r="L38" s="21"/>
      <c r="M38" s="21"/>
      <c r="N38" s="22"/>
      <c r="O38" s="22"/>
    </row>
    <row r="39" spans="1:15" ht="30" customHeight="1" x14ac:dyDescent="0.35">
      <c r="A39" s="18" t="s">
        <v>1358</v>
      </c>
      <c r="B39" s="19"/>
      <c r="C39" s="19"/>
      <c r="D39" s="19"/>
      <c r="E39" s="19"/>
      <c r="F39" s="25"/>
      <c r="G39" s="25"/>
      <c r="H39" s="18" t="str">
        <f t="shared" si="0"/>
        <v/>
      </c>
      <c r="I39" s="18" t="str">
        <f t="shared" si="1"/>
        <v/>
      </c>
      <c r="J39" s="19"/>
      <c r="K39" s="19"/>
      <c r="L39" s="18"/>
      <c r="M39" s="18"/>
      <c r="N39" s="19"/>
      <c r="O39" s="19"/>
    </row>
    <row r="40" spans="1:15" ht="30" customHeight="1" x14ac:dyDescent="0.35">
      <c r="A40" s="21" t="s">
        <v>1359</v>
      </c>
      <c r="B40" s="22"/>
      <c r="C40" s="22"/>
      <c r="D40" s="22"/>
      <c r="E40" s="22"/>
      <c r="F40" s="29"/>
      <c r="G40" s="29"/>
      <c r="H40" s="21" t="str">
        <f t="shared" si="0"/>
        <v/>
      </c>
      <c r="I40" s="21" t="str">
        <f t="shared" si="1"/>
        <v/>
      </c>
      <c r="J40" s="22"/>
      <c r="K40" s="22"/>
      <c r="L40" s="21"/>
      <c r="M40" s="21"/>
      <c r="N40" s="22"/>
      <c r="O40" s="22"/>
    </row>
  </sheetData>
  <autoFilter ref="A4:O40" xr:uid="{00000000-0009-0000-0000-00000A000000}"/>
  <mergeCells count="2">
    <mergeCell ref="A1:O1"/>
    <mergeCell ref="A2:O2"/>
  </mergeCells>
  <conditionalFormatting sqref="I5:I40">
    <cfRule type="expression" dxfId="37" priority="1">
      <formula>ISNUMBER(SEARCH("Critical",I5))</formula>
    </cfRule>
    <cfRule type="expression" dxfId="36" priority="2">
      <formula>ISNUMBER(SEARCH("High",I5))</formula>
    </cfRule>
    <cfRule type="expression" dxfId="35" priority="3">
      <formula>ISNUMBER(SEARCH("Medium",I5))</formula>
    </cfRule>
    <cfRule type="expression" dxfId="34" priority="4">
      <formula>ISNUMBER(SEARCH("Low",I5))</formula>
    </cfRule>
  </conditionalFormatting>
  <dataValidations count="3">
    <dataValidation type="whole" allowBlank="1" showErrorMessage="1" errorTitle="Invalid Rating" error="Enter a whole number between 1 and 5" sqref="F5:G40" xr:uid="{00000000-0002-0000-0A00-000000000000}">
      <formula1>1</formula1>
      <formula2>5</formula2>
    </dataValidation>
    <dataValidation type="list" allowBlank="1" showErrorMessage="1" errorTitle="Invalid Entry" error="Select a value from the list." sqref="L5:L40" xr:uid="{00000000-0002-0000-0A00-000001000000}">
      <formula1>"AWS,FAB,Third-Party Vendor,Shared"</formula1>
    </dataValidation>
    <dataValidation type="list" allowBlank="1" showErrorMessage="1" errorTitle="Invalid Entry" error="Select a value from the list." sqref="M5:M40" xr:uid="{00000000-0002-0000-0A00-000002000000}">
      <formula1>"Candidate - To Validate,Confirmed,Mitigated,Accepted,Closed"</formula1>
    </dataValidation>
  </dataValidations>
  <pageMargins left="0.75" right="0.75" top="1" bottom="1" header="0.5" footer="0.5"/>
  <pageSetup fitToHeight="0"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00000"/>
    <pageSetUpPr fitToPage="1"/>
  </sheetPr>
  <dimension ref="A1:U64"/>
  <sheetViews>
    <sheetView showGridLines="0" workbookViewId="0">
      <pane xSplit="2" ySplit="4" topLeftCell="C5" activePane="bottomRight" state="frozen"/>
      <selection pane="topRight"/>
      <selection pane="bottomLeft"/>
      <selection pane="bottomRight"/>
    </sheetView>
  </sheetViews>
  <sheetFormatPr defaultRowHeight="14.5" x14ac:dyDescent="0.35"/>
  <cols>
    <col min="1" max="1" width="9" customWidth="1"/>
    <col min="2" max="2" width="22" customWidth="1"/>
    <col min="3" max="3" width="12" customWidth="1"/>
    <col min="4" max="4" width="22" customWidth="1"/>
    <col min="5" max="5" width="42" customWidth="1"/>
    <col min="6" max="6" width="30" customWidth="1"/>
    <col min="7" max="7" width="34" customWidth="1"/>
    <col min="8" max="8" width="10" customWidth="1"/>
    <col min="9" max="9" width="9" customWidth="1"/>
    <col min="10" max="10" width="8" customWidth="1"/>
    <col min="11" max="11" width="10" customWidth="1"/>
    <col min="12" max="12" width="9" customWidth="1"/>
    <col min="13" max="13" width="13" customWidth="1"/>
    <col min="14" max="14" width="42" customWidth="1"/>
    <col min="15" max="15" width="28" customWidth="1"/>
    <col min="16" max="16" width="16" customWidth="1"/>
    <col min="17" max="17" width="11" customWidth="1"/>
    <col min="18" max="18" width="13" customWidth="1"/>
    <col min="19" max="19" width="28" customWidth="1"/>
    <col min="20" max="20" width="32" customWidth="1"/>
    <col min="21" max="21" width="10" customWidth="1"/>
  </cols>
  <sheetData>
    <row r="1" spans="1:21" ht="32" customHeight="1" x14ac:dyDescent="0.35">
      <c r="A1" s="63" t="s">
        <v>1360</v>
      </c>
      <c r="B1" s="54"/>
      <c r="C1" s="54"/>
      <c r="D1" s="54"/>
      <c r="E1" s="54"/>
      <c r="F1" s="54"/>
      <c r="G1" s="54"/>
      <c r="H1" s="54"/>
      <c r="I1" s="54"/>
      <c r="J1" s="54"/>
      <c r="K1" s="54"/>
      <c r="L1" s="54"/>
      <c r="M1" s="54"/>
      <c r="N1" s="54"/>
      <c r="O1" s="54"/>
      <c r="P1" s="54"/>
      <c r="Q1" s="54"/>
      <c r="R1" s="54"/>
      <c r="S1" s="54"/>
      <c r="T1" s="54"/>
      <c r="U1" s="54"/>
    </row>
    <row r="2" spans="1:21" ht="22" customHeight="1" x14ac:dyDescent="0.35">
      <c r="A2" s="64" t="s">
        <v>1361</v>
      </c>
      <c r="B2" s="54"/>
      <c r="C2" s="54"/>
      <c r="D2" s="54"/>
      <c r="E2" s="54"/>
      <c r="F2" s="54"/>
      <c r="G2" s="54"/>
      <c r="H2" s="54"/>
      <c r="I2" s="54"/>
      <c r="J2" s="54"/>
      <c r="K2" s="54"/>
      <c r="L2" s="54"/>
      <c r="M2" s="54"/>
      <c r="N2" s="54"/>
      <c r="O2" s="54"/>
      <c r="P2" s="54"/>
      <c r="Q2" s="54"/>
      <c r="R2" s="54"/>
      <c r="S2" s="54"/>
      <c r="T2" s="54"/>
      <c r="U2" s="54"/>
    </row>
    <row r="4" spans="1:21" ht="44" customHeight="1" x14ac:dyDescent="0.35">
      <c r="A4" s="3" t="s">
        <v>1362</v>
      </c>
      <c r="B4" s="3" t="s">
        <v>1363</v>
      </c>
      <c r="C4" s="3" t="s">
        <v>1364</v>
      </c>
      <c r="D4" s="3" t="s">
        <v>218</v>
      </c>
      <c r="E4" s="3" t="s">
        <v>106</v>
      </c>
      <c r="F4" s="3" t="s">
        <v>109</v>
      </c>
      <c r="G4" s="3" t="s">
        <v>1365</v>
      </c>
      <c r="H4" s="3" t="s">
        <v>1232</v>
      </c>
      <c r="I4" s="3" t="s">
        <v>1233</v>
      </c>
      <c r="J4" s="3" t="s">
        <v>1234</v>
      </c>
      <c r="K4" s="3" t="s">
        <v>1235</v>
      </c>
      <c r="L4" s="3" t="s">
        <v>224</v>
      </c>
      <c r="M4" s="3" t="s">
        <v>1366</v>
      </c>
      <c r="N4" s="3" t="s">
        <v>1367</v>
      </c>
      <c r="O4" s="3" t="s">
        <v>121</v>
      </c>
      <c r="P4" s="3" t="s">
        <v>227</v>
      </c>
      <c r="Q4" s="3" t="s">
        <v>228</v>
      </c>
      <c r="R4" s="3" t="s">
        <v>76</v>
      </c>
      <c r="S4" s="3" t="s">
        <v>1368</v>
      </c>
      <c r="T4" s="3" t="s">
        <v>1369</v>
      </c>
      <c r="U4" s="3" t="s">
        <v>1370</v>
      </c>
    </row>
    <row r="5" spans="1:21" ht="36" customHeight="1" x14ac:dyDescent="0.35">
      <c r="A5" s="18" t="s">
        <v>1371</v>
      </c>
      <c r="B5" s="19"/>
      <c r="C5" s="18"/>
      <c r="D5" s="19"/>
      <c r="E5" s="19"/>
      <c r="F5" s="19"/>
      <c r="G5" s="19"/>
      <c r="H5" s="18"/>
      <c r="I5" s="18"/>
      <c r="J5" s="18" t="str">
        <f t="shared" ref="J5:J36" si="0">IF(OR(H5="",I5=""),"",H5*I5)</f>
        <v/>
      </c>
      <c r="K5" s="18" t="str">
        <f t="shared" ref="K5:K36" si="1">IF(J5="","",IF(J5&gt;=RISK_CRIT,"Critical",IF(J5&gt;=RISK_HIGH,"High",IF(J5&gt;=RISK_MED,"Medium","Low"))))</f>
        <v/>
      </c>
      <c r="L5" s="18" t="str">
        <f t="shared" ref="L5:L36" si="2">IF(K5="","",IF(OR(K5="Critical",K5="High"),"RED",IF(K5="Medium","AMBER","GREEN")))</f>
        <v/>
      </c>
      <c r="M5" s="18" t="str">
        <f t="shared" ref="M5:M36" si="3">IF(K5="","",IF(K5="Critical","P1 - Immediate",IF(K5="High","P2 - Next",IF(K5="Medium","P3 - Planned","P4 - Backlog"))))</f>
        <v/>
      </c>
      <c r="N5" s="19"/>
      <c r="O5" s="19"/>
      <c r="P5" s="19"/>
      <c r="Q5" s="18"/>
      <c r="R5" s="18"/>
      <c r="S5" s="19"/>
      <c r="T5" s="19"/>
      <c r="U5" s="36" t="str">
        <f t="shared" ref="U5:U36" si="4">IF(J5="","",J5+(1000-ROW())/100000)</f>
        <v/>
      </c>
    </row>
    <row r="6" spans="1:21" ht="36" customHeight="1" x14ac:dyDescent="0.35">
      <c r="A6" s="21" t="s">
        <v>1372</v>
      </c>
      <c r="B6" s="22"/>
      <c r="C6" s="21"/>
      <c r="D6" s="22"/>
      <c r="E6" s="22"/>
      <c r="F6" s="22"/>
      <c r="G6" s="22"/>
      <c r="H6" s="21"/>
      <c r="I6" s="21"/>
      <c r="J6" s="21" t="str">
        <f t="shared" si="0"/>
        <v/>
      </c>
      <c r="K6" s="21" t="str">
        <f t="shared" si="1"/>
        <v/>
      </c>
      <c r="L6" s="21" t="str">
        <f t="shared" si="2"/>
        <v/>
      </c>
      <c r="M6" s="21" t="str">
        <f t="shared" si="3"/>
        <v/>
      </c>
      <c r="N6" s="22"/>
      <c r="O6" s="22"/>
      <c r="P6" s="22"/>
      <c r="Q6" s="21"/>
      <c r="R6" s="21"/>
      <c r="S6" s="22"/>
      <c r="T6" s="22"/>
      <c r="U6" s="37" t="str">
        <f t="shared" si="4"/>
        <v/>
      </c>
    </row>
    <row r="7" spans="1:21" ht="36" customHeight="1" x14ac:dyDescent="0.35">
      <c r="A7" s="18" t="s">
        <v>1373</v>
      </c>
      <c r="B7" s="19"/>
      <c r="C7" s="18"/>
      <c r="D7" s="19"/>
      <c r="E7" s="19"/>
      <c r="F7" s="19"/>
      <c r="G7" s="19"/>
      <c r="H7" s="18"/>
      <c r="I7" s="18"/>
      <c r="J7" s="18" t="str">
        <f t="shared" si="0"/>
        <v/>
      </c>
      <c r="K7" s="18" t="str">
        <f t="shared" si="1"/>
        <v/>
      </c>
      <c r="L7" s="18" t="str">
        <f t="shared" si="2"/>
        <v/>
      </c>
      <c r="M7" s="18" t="str">
        <f t="shared" si="3"/>
        <v/>
      </c>
      <c r="N7" s="19"/>
      <c r="O7" s="19"/>
      <c r="P7" s="19"/>
      <c r="Q7" s="18"/>
      <c r="R7" s="18"/>
      <c r="S7" s="19"/>
      <c r="T7" s="19"/>
      <c r="U7" s="36" t="str">
        <f t="shared" si="4"/>
        <v/>
      </c>
    </row>
    <row r="8" spans="1:21" ht="36" customHeight="1" x14ac:dyDescent="0.35">
      <c r="A8" s="21" t="s">
        <v>1374</v>
      </c>
      <c r="B8" s="22"/>
      <c r="C8" s="21"/>
      <c r="D8" s="22"/>
      <c r="E8" s="22"/>
      <c r="F8" s="22"/>
      <c r="G8" s="22"/>
      <c r="H8" s="21"/>
      <c r="I8" s="21"/>
      <c r="J8" s="21" t="str">
        <f t="shared" si="0"/>
        <v/>
      </c>
      <c r="K8" s="21" t="str">
        <f t="shared" si="1"/>
        <v/>
      </c>
      <c r="L8" s="21" t="str">
        <f t="shared" si="2"/>
        <v/>
      </c>
      <c r="M8" s="21" t="str">
        <f t="shared" si="3"/>
        <v/>
      </c>
      <c r="N8" s="22"/>
      <c r="O8" s="22"/>
      <c r="P8" s="22"/>
      <c r="Q8" s="21"/>
      <c r="R8" s="21"/>
      <c r="S8" s="22"/>
      <c r="T8" s="22"/>
      <c r="U8" s="37" t="str">
        <f t="shared" si="4"/>
        <v/>
      </c>
    </row>
    <row r="9" spans="1:21" ht="36" customHeight="1" x14ac:dyDescent="0.35">
      <c r="A9" s="18" t="s">
        <v>1375</v>
      </c>
      <c r="B9" s="19"/>
      <c r="C9" s="18"/>
      <c r="D9" s="19"/>
      <c r="E9" s="19"/>
      <c r="F9" s="19"/>
      <c r="G9" s="19"/>
      <c r="H9" s="18"/>
      <c r="I9" s="18"/>
      <c r="J9" s="18" t="str">
        <f t="shared" si="0"/>
        <v/>
      </c>
      <c r="K9" s="18" t="str">
        <f t="shared" si="1"/>
        <v/>
      </c>
      <c r="L9" s="18" t="str">
        <f t="shared" si="2"/>
        <v/>
      </c>
      <c r="M9" s="18" t="str">
        <f t="shared" si="3"/>
        <v/>
      </c>
      <c r="N9" s="19"/>
      <c r="O9" s="19"/>
      <c r="P9" s="19"/>
      <c r="Q9" s="18"/>
      <c r="R9" s="18"/>
      <c r="S9" s="19"/>
      <c r="T9" s="19"/>
      <c r="U9" s="36" t="str">
        <f t="shared" si="4"/>
        <v/>
      </c>
    </row>
    <row r="10" spans="1:21" ht="36" customHeight="1" x14ac:dyDescent="0.35">
      <c r="A10" s="21" t="s">
        <v>1376</v>
      </c>
      <c r="B10" s="22"/>
      <c r="C10" s="21"/>
      <c r="D10" s="22"/>
      <c r="E10" s="22"/>
      <c r="F10" s="22"/>
      <c r="G10" s="22"/>
      <c r="H10" s="21"/>
      <c r="I10" s="21"/>
      <c r="J10" s="21" t="str">
        <f t="shared" si="0"/>
        <v/>
      </c>
      <c r="K10" s="21" t="str">
        <f t="shared" si="1"/>
        <v/>
      </c>
      <c r="L10" s="21" t="str">
        <f t="shared" si="2"/>
        <v/>
      </c>
      <c r="M10" s="21" t="str">
        <f t="shared" si="3"/>
        <v/>
      </c>
      <c r="N10" s="22"/>
      <c r="O10" s="22"/>
      <c r="P10" s="22"/>
      <c r="Q10" s="21"/>
      <c r="R10" s="21"/>
      <c r="S10" s="22"/>
      <c r="T10" s="22"/>
      <c r="U10" s="37" t="str">
        <f t="shared" si="4"/>
        <v/>
      </c>
    </row>
    <row r="11" spans="1:21" ht="36" customHeight="1" x14ac:dyDescent="0.35">
      <c r="A11" s="18" t="s">
        <v>1377</v>
      </c>
      <c r="B11" s="19"/>
      <c r="C11" s="18"/>
      <c r="D11" s="19"/>
      <c r="E11" s="19"/>
      <c r="F11" s="19"/>
      <c r="G11" s="19"/>
      <c r="H11" s="18"/>
      <c r="I11" s="18"/>
      <c r="J11" s="18" t="str">
        <f t="shared" si="0"/>
        <v/>
      </c>
      <c r="K11" s="18" t="str">
        <f t="shared" si="1"/>
        <v/>
      </c>
      <c r="L11" s="18" t="str">
        <f t="shared" si="2"/>
        <v/>
      </c>
      <c r="M11" s="18" t="str">
        <f t="shared" si="3"/>
        <v/>
      </c>
      <c r="N11" s="19"/>
      <c r="O11" s="19"/>
      <c r="P11" s="19"/>
      <c r="Q11" s="18"/>
      <c r="R11" s="18"/>
      <c r="S11" s="19"/>
      <c r="T11" s="19"/>
      <c r="U11" s="36" t="str">
        <f t="shared" si="4"/>
        <v/>
      </c>
    </row>
    <row r="12" spans="1:21" ht="36" customHeight="1" x14ac:dyDescent="0.35">
      <c r="A12" s="21" t="s">
        <v>1378</v>
      </c>
      <c r="B12" s="22"/>
      <c r="C12" s="21"/>
      <c r="D12" s="22"/>
      <c r="E12" s="22"/>
      <c r="F12" s="22"/>
      <c r="G12" s="22"/>
      <c r="H12" s="21"/>
      <c r="I12" s="21"/>
      <c r="J12" s="21" t="str">
        <f t="shared" si="0"/>
        <v/>
      </c>
      <c r="K12" s="21" t="str">
        <f t="shared" si="1"/>
        <v/>
      </c>
      <c r="L12" s="21" t="str">
        <f t="shared" si="2"/>
        <v/>
      </c>
      <c r="M12" s="21" t="str">
        <f t="shared" si="3"/>
        <v/>
      </c>
      <c r="N12" s="22"/>
      <c r="O12" s="22"/>
      <c r="P12" s="22"/>
      <c r="Q12" s="21"/>
      <c r="R12" s="21"/>
      <c r="S12" s="22"/>
      <c r="T12" s="22"/>
      <c r="U12" s="37" t="str">
        <f t="shared" si="4"/>
        <v/>
      </c>
    </row>
    <row r="13" spans="1:21" ht="36" customHeight="1" x14ac:dyDescent="0.35">
      <c r="A13" s="18" t="s">
        <v>1379</v>
      </c>
      <c r="B13" s="19"/>
      <c r="C13" s="18"/>
      <c r="D13" s="19"/>
      <c r="E13" s="19"/>
      <c r="F13" s="19"/>
      <c r="G13" s="19"/>
      <c r="H13" s="18"/>
      <c r="I13" s="18"/>
      <c r="J13" s="18" t="str">
        <f t="shared" si="0"/>
        <v/>
      </c>
      <c r="K13" s="18" t="str">
        <f t="shared" si="1"/>
        <v/>
      </c>
      <c r="L13" s="18" t="str">
        <f t="shared" si="2"/>
        <v/>
      </c>
      <c r="M13" s="18" t="str">
        <f t="shared" si="3"/>
        <v/>
      </c>
      <c r="N13" s="19"/>
      <c r="O13" s="19"/>
      <c r="P13" s="19"/>
      <c r="Q13" s="18"/>
      <c r="R13" s="18"/>
      <c r="S13" s="19"/>
      <c r="T13" s="19"/>
      <c r="U13" s="36" t="str">
        <f t="shared" si="4"/>
        <v/>
      </c>
    </row>
    <row r="14" spans="1:21" ht="36" customHeight="1" x14ac:dyDescent="0.35">
      <c r="A14" s="21" t="s">
        <v>1380</v>
      </c>
      <c r="B14" s="22"/>
      <c r="C14" s="21"/>
      <c r="D14" s="22"/>
      <c r="E14" s="22"/>
      <c r="F14" s="22"/>
      <c r="G14" s="22"/>
      <c r="H14" s="21"/>
      <c r="I14" s="21"/>
      <c r="J14" s="21" t="str">
        <f t="shared" si="0"/>
        <v/>
      </c>
      <c r="K14" s="21" t="str">
        <f t="shared" si="1"/>
        <v/>
      </c>
      <c r="L14" s="21" t="str">
        <f t="shared" si="2"/>
        <v/>
      </c>
      <c r="M14" s="21" t="str">
        <f t="shared" si="3"/>
        <v/>
      </c>
      <c r="N14" s="22"/>
      <c r="O14" s="22"/>
      <c r="P14" s="22"/>
      <c r="Q14" s="21"/>
      <c r="R14" s="21"/>
      <c r="S14" s="22"/>
      <c r="T14" s="22"/>
      <c r="U14" s="37" t="str">
        <f t="shared" si="4"/>
        <v/>
      </c>
    </row>
    <row r="15" spans="1:21" ht="36" customHeight="1" x14ac:dyDescent="0.35">
      <c r="A15" s="18" t="s">
        <v>1381</v>
      </c>
      <c r="B15" s="19"/>
      <c r="C15" s="18"/>
      <c r="D15" s="19"/>
      <c r="E15" s="19"/>
      <c r="F15" s="19"/>
      <c r="G15" s="19"/>
      <c r="H15" s="18"/>
      <c r="I15" s="18"/>
      <c r="J15" s="18" t="str">
        <f t="shared" si="0"/>
        <v/>
      </c>
      <c r="K15" s="18" t="str">
        <f t="shared" si="1"/>
        <v/>
      </c>
      <c r="L15" s="18" t="str">
        <f t="shared" si="2"/>
        <v/>
      </c>
      <c r="M15" s="18" t="str">
        <f t="shared" si="3"/>
        <v/>
      </c>
      <c r="N15" s="19"/>
      <c r="O15" s="19"/>
      <c r="P15" s="19"/>
      <c r="Q15" s="18"/>
      <c r="R15" s="18"/>
      <c r="S15" s="19"/>
      <c r="T15" s="19"/>
      <c r="U15" s="36" t="str">
        <f t="shared" si="4"/>
        <v/>
      </c>
    </row>
    <row r="16" spans="1:21" ht="36" customHeight="1" x14ac:dyDescent="0.35">
      <c r="A16" s="21" t="s">
        <v>1382</v>
      </c>
      <c r="B16" s="22"/>
      <c r="C16" s="21"/>
      <c r="D16" s="22"/>
      <c r="E16" s="22"/>
      <c r="F16" s="22"/>
      <c r="G16" s="22"/>
      <c r="H16" s="21"/>
      <c r="I16" s="21"/>
      <c r="J16" s="21" t="str">
        <f t="shared" si="0"/>
        <v/>
      </c>
      <c r="K16" s="21" t="str">
        <f t="shared" si="1"/>
        <v/>
      </c>
      <c r="L16" s="21" t="str">
        <f t="shared" si="2"/>
        <v/>
      </c>
      <c r="M16" s="21" t="str">
        <f t="shared" si="3"/>
        <v/>
      </c>
      <c r="N16" s="22"/>
      <c r="O16" s="22"/>
      <c r="P16" s="22"/>
      <c r="Q16" s="21"/>
      <c r="R16" s="21"/>
      <c r="S16" s="22"/>
      <c r="T16" s="22"/>
      <c r="U16" s="37" t="str">
        <f t="shared" si="4"/>
        <v/>
      </c>
    </row>
    <row r="17" spans="1:21" ht="36" customHeight="1" x14ac:dyDescent="0.35">
      <c r="A17" s="18" t="s">
        <v>1383</v>
      </c>
      <c r="B17" s="19"/>
      <c r="C17" s="18"/>
      <c r="D17" s="19"/>
      <c r="E17" s="19"/>
      <c r="F17" s="19"/>
      <c r="G17" s="19"/>
      <c r="H17" s="18"/>
      <c r="I17" s="18"/>
      <c r="J17" s="18" t="str">
        <f t="shared" si="0"/>
        <v/>
      </c>
      <c r="K17" s="18" t="str">
        <f t="shared" si="1"/>
        <v/>
      </c>
      <c r="L17" s="18" t="str">
        <f t="shared" si="2"/>
        <v/>
      </c>
      <c r="M17" s="18" t="str">
        <f t="shared" si="3"/>
        <v/>
      </c>
      <c r="N17" s="19"/>
      <c r="O17" s="19"/>
      <c r="P17" s="19"/>
      <c r="Q17" s="18"/>
      <c r="R17" s="18"/>
      <c r="S17" s="19"/>
      <c r="T17" s="19"/>
      <c r="U17" s="36" t="str">
        <f t="shared" si="4"/>
        <v/>
      </c>
    </row>
    <row r="18" spans="1:21" ht="36" customHeight="1" x14ac:dyDescent="0.35">
      <c r="A18" s="21" t="s">
        <v>1384</v>
      </c>
      <c r="B18" s="22"/>
      <c r="C18" s="21"/>
      <c r="D18" s="22"/>
      <c r="E18" s="22"/>
      <c r="F18" s="22"/>
      <c r="G18" s="22"/>
      <c r="H18" s="21"/>
      <c r="I18" s="21"/>
      <c r="J18" s="21" t="str">
        <f t="shared" si="0"/>
        <v/>
      </c>
      <c r="K18" s="21" t="str">
        <f t="shared" si="1"/>
        <v/>
      </c>
      <c r="L18" s="21" t="str">
        <f t="shared" si="2"/>
        <v/>
      </c>
      <c r="M18" s="21" t="str">
        <f t="shared" si="3"/>
        <v/>
      </c>
      <c r="N18" s="22"/>
      <c r="O18" s="22"/>
      <c r="P18" s="22"/>
      <c r="Q18" s="21"/>
      <c r="R18" s="21"/>
      <c r="S18" s="22"/>
      <c r="T18" s="22"/>
      <c r="U18" s="37" t="str">
        <f t="shared" si="4"/>
        <v/>
      </c>
    </row>
    <row r="19" spans="1:21" ht="36" customHeight="1" x14ac:dyDescent="0.35">
      <c r="A19" s="18" t="s">
        <v>1385</v>
      </c>
      <c r="B19" s="19"/>
      <c r="C19" s="18"/>
      <c r="D19" s="19"/>
      <c r="E19" s="19"/>
      <c r="F19" s="19"/>
      <c r="G19" s="19"/>
      <c r="H19" s="18"/>
      <c r="I19" s="18"/>
      <c r="J19" s="18" t="str">
        <f t="shared" si="0"/>
        <v/>
      </c>
      <c r="K19" s="18" t="str">
        <f t="shared" si="1"/>
        <v/>
      </c>
      <c r="L19" s="18" t="str">
        <f t="shared" si="2"/>
        <v/>
      </c>
      <c r="M19" s="18" t="str">
        <f t="shared" si="3"/>
        <v/>
      </c>
      <c r="N19" s="19"/>
      <c r="O19" s="19"/>
      <c r="P19" s="19"/>
      <c r="Q19" s="18"/>
      <c r="R19" s="18"/>
      <c r="S19" s="19"/>
      <c r="T19" s="19"/>
      <c r="U19" s="36" t="str">
        <f t="shared" si="4"/>
        <v/>
      </c>
    </row>
    <row r="20" spans="1:21" ht="36" customHeight="1" x14ac:dyDescent="0.35">
      <c r="A20" s="21" t="s">
        <v>1386</v>
      </c>
      <c r="B20" s="22"/>
      <c r="C20" s="21"/>
      <c r="D20" s="22"/>
      <c r="E20" s="22"/>
      <c r="F20" s="22"/>
      <c r="G20" s="22"/>
      <c r="H20" s="21"/>
      <c r="I20" s="21"/>
      <c r="J20" s="21" t="str">
        <f t="shared" si="0"/>
        <v/>
      </c>
      <c r="K20" s="21" t="str">
        <f t="shared" si="1"/>
        <v/>
      </c>
      <c r="L20" s="21" t="str">
        <f t="shared" si="2"/>
        <v/>
      </c>
      <c r="M20" s="21" t="str">
        <f t="shared" si="3"/>
        <v/>
      </c>
      <c r="N20" s="22"/>
      <c r="O20" s="22"/>
      <c r="P20" s="22"/>
      <c r="Q20" s="21"/>
      <c r="R20" s="21"/>
      <c r="S20" s="22"/>
      <c r="T20" s="22"/>
      <c r="U20" s="37" t="str">
        <f t="shared" si="4"/>
        <v/>
      </c>
    </row>
    <row r="21" spans="1:21" ht="36" customHeight="1" x14ac:dyDescent="0.35">
      <c r="A21" s="18" t="s">
        <v>1387</v>
      </c>
      <c r="B21" s="19"/>
      <c r="C21" s="18"/>
      <c r="D21" s="19"/>
      <c r="E21" s="19"/>
      <c r="F21" s="19"/>
      <c r="G21" s="19"/>
      <c r="H21" s="18"/>
      <c r="I21" s="18"/>
      <c r="J21" s="18" t="str">
        <f t="shared" si="0"/>
        <v/>
      </c>
      <c r="K21" s="18" t="str">
        <f t="shared" si="1"/>
        <v/>
      </c>
      <c r="L21" s="18" t="str">
        <f t="shared" si="2"/>
        <v/>
      </c>
      <c r="M21" s="18" t="str">
        <f t="shared" si="3"/>
        <v/>
      </c>
      <c r="N21" s="19"/>
      <c r="O21" s="19"/>
      <c r="P21" s="19"/>
      <c r="Q21" s="18"/>
      <c r="R21" s="18"/>
      <c r="S21" s="19"/>
      <c r="T21" s="19"/>
      <c r="U21" s="36" t="str">
        <f t="shared" si="4"/>
        <v/>
      </c>
    </row>
    <row r="22" spans="1:21" ht="36" customHeight="1" x14ac:dyDescent="0.35">
      <c r="A22" s="21" t="s">
        <v>1388</v>
      </c>
      <c r="B22" s="22"/>
      <c r="C22" s="21"/>
      <c r="D22" s="22"/>
      <c r="E22" s="22"/>
      <c r="F22" s="22"/>
      <c r="G22" s="22"/>
      <c r="H22" s="21"/>
      <c r="I22" s="21"/>
      <c r="J22" s="21" t="str">
        <f t="shared" si="0"/>
        <v/>
      </c>
      <c r="K22" s="21" t="str">
        <f t="shared" si="1"/>
        <v/>
      </c>
      <c r="L22" s="21" t="str">
        <f t="shared" si="2"/>
        <v/>
      </c>
      <c r="M22" s="21" t="str">
        <f t="shared" si="3"/>
        <v/>
      </c>
      <c r="N22" s="22"/>
      <c r="O22" s="22"/>
      <c r="P22" s="22"/>
      <c r="Q22" s="21"/>
      <c r="R22" s="21"/>
      <c r="S22" s="22"/>
      <c r="T22" s="22"/>
      <c r="U22" s="37" t="str">
        <f t="shared" si="4"/>
        <v/>
      </c>
    </row>
    <row r="23" spans="1:21" ht="36" customHeight="1" x14ac:dyDescent="0.35">
      <c r="A23" s="18" t="s">
        <v>1389</v>
      </c>
      <c r="B23" s="19"/>
      <c r="C23" s="18"/>
      <c r="D23" s="19"/>
      <c r="E23" s="19"/>
      <c r="F23" s="19"/>
      <c r="G23" s="19"/>
      <c r="H23" s="18"/>
      <c r="I23" s="18"/>
      <c r="J23" s="18" t="str">
        <f t="shared" si="0"/>
        <v/>
      </c>
      <c r="K23" s="18" t="str">
        <f t="shared" si="1"/>
        <v/>
      </c>
      <c r="L23" s="18" t="str">
        <f t="shared" si="2"/>
        <v/>
      </c>
      <c r="M23" s="18" t="str">
        <f t="shared" si="3"/>
        <v/>
      </c>
      <c r="N23" s="19"/>
      <c r="O23" s="19"/>
      <c r="P23" s="19"/>
      <c r="Q23" s="18"/>
      <c r="R23" s="18"/>
      <c r="S23" s="19"/>
      <c r="T23" s="19"/>
      <c r="U23" s="36" t="str">
        <f t="shared" si="4"/>
        <v/>
      </c>
    </row>
    <row r="24" spans="1:21" ht="36" customHeight="1" x14ac:dyDescent="0.35">
      <c r="A24" s="21" t="s">
        <v>1390</v>
      </c>
      <c r="B24" s="22"/>
      <c r="C24" s="21"/>
      <c r="D24" s="22"/>
      <c r="E24" s="22"/>
      <c r="F24" s="22"/>
      <c r="G24" s="22"/>
      <c r="H24" s="21"/>
      <c r="I24" s="21"/>
      <c r="J24" s="21" t="str">
        <f t="shared" si="0"/>
        <v/>
      </c>
      <c r="K24" s="21" t="str">
        <f t="shared" si="1"/>
        <v/>
      </c>
      <c r="L24" s="21" t="str">
        <f t="shared" si="2"/>
        <v/>
      </c>
      <c r="M24" s="21" t="str">
        <f t="shared" si="3"/>
        <v/>
      </c>
      <c r="N24" s="22"/>
      <c r="O24" s="22"/>
      <c r="P24" s="22"/>
      <c r="Q24" s="21"/>
      <c r="R24" s="21"/>
      <c r="S24" s="22"/>
      <c r="T24" s="22"/>
      <c r="U24" s="37" t="str">
        <f t="shared" si="4"/>
        <v/>
      </c>
    </row>
    <row r="25" spans="1:21" ht="36" customHeight="1" x14ac:dyDescent="0.35">
      <c r="A25" s="18" t="s">
        <v>1391</v>
      </c>
      <c r="B25" s="19"/>
      <c r="C25" s="18"/>
      <c r="D25" s="19"/>
      <c r="E25" s="19"/>
      <c r="F25" s="19"/>
      <c r="G25" s="19"/>
      <c r="H25" s="18"/>
      <c r="I25" s="18"/>
      <c r="J25" s="18" t="str">
        <f t="shared" si="0"/>
        <v/>
      </c>
      <c r="K25" s="18" t="str">
        <f t="shared" si="1"/>
        <v/>
      </c>
      <c r="L25" s="18" t="str">
        <f t="shared" si="2"/>
        <v/>
      </c>
      <c r="M25" s="18" t="str">
        <f t="shared" si="3"/>
        <v/>
      </c>
      <c r="N25" s="19"/>
      <c r="O25" s="19"/>
      <c r="P25" s="19"/>
      <c r="Q25" s="18"/>
      <c r="R25" s="18"/>
      <c r="S25" s="19"/>
      <c r="T25" s="19"/>
      <c r="U25" s="36" t="str">
        <f t="shared" si="4"/>
        <v/>
      </c>
    </row>
    <row r="26" spans="1:21" ht="36" customHeight="1" x14ac:dyDescent="0.35">
      <c r="A26" s="21" t="s">
        <v>1392</v>
      </c>
      <c r="B26" s="22"/>
      <c r="C26" s="21"/>
      <c r="D26" s="22"/>
      <c r="E26" s="22"/>
      <c r="F26" s="22"/>
      <c r="G26" s="22"/>
      <c r="H26" s="21"/>
      <c r="I26" s="21"/>
      <c r="J26" s="21" t="str">
        <f t="shared" si="0"/>
        <v/>
      </c>
      <c r="K26" s="21" t="str">
        <f t="shared" si="1"/>
        <v/>
      </c>
      <c r="L26" s="21" t="str">
        <f t="shared" si="2"/>
        <v/>
      </c>
      <c r="M26" s="21" t="str">
        <f t="shared" si="3"/>
        <v/>
      </c>
      <c r="N26" s="22"/>
      <c r="O26" s="22"/>
      <c r="P26" s="22"/>
      <c r="Q26" s="21"/>
      <c r="R26" s="21"/>
      <c r="S26" s="22"/>
      <c r="T26" s="22"/>
      <c r="U26" s="37" t="str">
        <f t="shared" si="4"/>
        <v/>
      </c>
    </row>
    <row r="27" spans="1:21" ht="36" customHeight="1" x14ac:dyDescent="0.35">
      <c r="A27" s="18" t="s">
        <v>1393</v>
      </c>
      <c r="B27" s="19"/>
      <c r="C27" s="18"/>
      <c r="D27" s="19"/>
      <c r="E27" s="19"/>
      <c r="F27" s="19"/>
      <c r="G27" s="19"/>
      <c r="H27" s="18"/>
      <c r="I27" s="18"/>
      <c r="J27" s="18" t="str">
        <f t="shared" si="0"/>
        <v/>
      </c>
      <c r="K27" s="18" t="str">
        <f t="shared" si="1"/>
        <v/>
      </c>
      <c r="L27" s="18" t="str">
        <f t="shared" si="2"/>
        <v/>
      </c>
      <c r="M27" s="18" t="str">
        <f t="shared" si="3"/>
        <v/>
      </c>
      <c r="N27" s="19"/>
      <c r="O27" s="19"/>
      <c r="P27" s="19"/>
      <c r="Q27" s="18"/>
      <c r="R27" s="18"/>
      <c r="S27" s="19"/>
      <c r="T27" s="19"/>
      <c r="U27" s="36" t="str">
        <f t="shared" si="4"/>
        <v/>
      </c>
    </row>
    <row r="28" spans="1:21" ht="36" customHeight="1" x14ac:dyDescent="0.35">
      <c r="A28" s="21" t="s">
        <v>1394</v>
      </c>
      <c r="B28" s="22"/>
      <c r="C28" s="21"/>
      <c r="D28" s="22"/>
      <c r="E28" s="22"/>
      <c r="F28" s="22"/>
      <c r="G28" s="22"/>
      <c r="H28" s="21"/>
      <c r="I28" s="21"/>
      <c r="J28" s="21" t="str">
        <f t="shared" si="0"/>
        <v/>
      </c>
      <c r="K28" s="21" t="str">
        <f t="shared" si="1"/>
        <v/>
      </c>
      <c r="L28" s="21" t="str">
        <f t="shared" si="2"/>
        <v/>
      </c>
      <c r="M28" s="21" t="str">
        <f t="shared" si="3"/>
        <v/>
      </c>
      <c r="N28" s="22"/>
      <c r="O28" s="22"/>
      <c r="P28" s="22"/>
      <c r="Q28" s="21"/>
      <c r="R28" s="21"/>
      <c r="S28" s="22"/>
      <c r="T28" s="22"/>
      <c r="U28" s="37" t="str">
        <f t="shared" si="4"/>
        <v/>
      </c>
    </row>
    <row r="29" spans="1:21" ht="36" customHeight="1" x14ac:dyDescent="0.35">
      <c r="A29" s="18" t="s">
        <v>1395</v>
      </c>
      <c r="B29" s="19"/>
      <c r="C29" s="18"/>
      <c r="D29" s="19"/>
      <c r="E29" s="19"/>
      <c r="F29" s="19"/>
      <c r="G29" s="19"/>
      <c r="H29" s="18"/>
      <c r="I29" s="18"/>
      <c r="J29" s="18" t="str">
        <f t="shared" si="0"/>
        <v/>
      </c>
      <c r="K29" s="18" t="str">
        <f t="shared" si="1"/>
        <v/>
      </c>
      <c r="L29" s="18" t="str">
        <f t="shared" si="2"/>
        <v/>
      </c>
      <c r="M29" s="18" t="str">
        <f t="shared" si="3"/>
        <v/>
      </c>
      <c r="N29" s="19"/>
      <c r="O29" s="19"/>
      <c r="P29" s="19"/>
      <c r="Q29" s="18"/>
      <c r="R29" s="18"/>
      <c r="S29" s="19"/>
      <c r="T29" s="19"/>
      <c r="U29" s="36" t="str">
        <f t="shared" si="4"/>
        <v/>
      </c>
    </row>
    <row r="30" spans="1:21" ht="36" customHeight="1" x14ac:dyDescent="0.35">
      <c r="A30" s="21" t="s">
        <v>1396</v>
      </c>
      <c r="B30" s="22"/>
      <c r="C30" s="21"/>
      <c r="D30" s="22"/>
      <c r="E30" s="22"/>
      <c r="F30" s="22"/>
      <c r="G30" s="22"/>
      <c r="H30" s="21"/>
      <c r="I30" s="21"/>
      <c r="J30" s="21" t="str">
        <f t="shared" si="0"/>
        <v/>
      </c>
      <c r="K30" s="21" t="str">
        <f t="shared" si="1"/>
        <v/>
      </c>
      <c r="L30" s="21" t="str">
        <f t="shared" si="2"/>
        <v/>
      </c>
      <c r="M30" s="21" t="str">
        <f t="shared" si="3"/>
        <v/>
      </c>
      <c r="N30" s="22"/>
      <c r="O30" s="22"/>
      <c r="P30" s="22"/>
      <c r="Q30" s="21"/>
      <c r="R30" s="21"/>
      <c r="S30" s="22"/>
      <c r="T30" s="22"/>
      <c r="U30" s="37" t="str">
        <f t="shared" si="4"/>
        <v/>
      </c>
    </row>
    <row r="31" spans="1:21" ht="36" customHeight="1" x14ac:dyDescent="0.35">
      <c r="A31" s="18" t="s">
        <v>1397</v>
      </c>
      <c r="B31" s="19"/>
      <c r="C31" s="18"/>
      <c r="D31" s="19"/>
      <c r="E31" s="19"/>
      <c r="F31" s="19"/>
      <c r="G31" s="19"/>
      <c r="H31" s="18"/>
      <c r="I31" s="18"/>
      <c r="J31" s="18" t="str">
        <f t="shared" si="0"/>
        <v/>
      </c>
      <c r="K31" s="18" t="str">
        <f t="shared" si="1"/>
        <v/>
      </c>
      <c r="L31" s="18" t="str">
        <f t="shared" si="2"/>
        <v/>
      </c>
      <c r="M31" s="18" t="str">
        <f t="shared" si="3"/>
        <v/>
      </c>
      <c r="N31" s="19"/>
      <c r="O31" s="19"/>
      <c r="P31" s="19"/>
      <c r="Q31" s="18"/>
      <c r="R31" s="18"/>
      <c r="S31" s="19"/>
      <c r="T31" s="19"/>
      <c r="U31" s="36" t="str">
        <f t="shared" si="4"/>
        <v/>
      </c>
    </row>
    <row r="32" spans="1:21" ht="36" customHeight="1" x14ac:dyDescent="0.35">
      <c r="A32" s="21" t="s">
        <v>1398</v>
      </c>
      <c r="B32" s="22"/>
      <c r="C32" s="21"/>
      <c r="D32" s="22"/>
      <c r="E32" s="22"/>
      <c r="F32" s="22"/>
      <c r="G32" s="22"/>
      <c r="H32" s="21"/>
      <c r="I32" s="21"/>
      <c r="J32" s="21" t="str">
        <f t="shared" si="0"/>
        <v/>
      </c>
      <c r="K32" s="21" t="str">
        <f t="shared" si="1"/>
        <v/>
      </c>
      <c r="L32" s="21" t="str">
        <f t="shared" si="2"/>
        <v/>
      </c>
      <c r="M32" s="21" t="str">
        <f t="shared" si="3"/>
        <v/>
      </c>
      <c r="N32" s="22"/>
      <c r="O32" s="22"/>
      <c r="P32" s="22"/>
      <c r="Q32" s="21"/>
      <c r="R32" s="21"/>
      <c r="S32" s="22"/>
      <c r="T32" s="22"/>
      <c r="U32" s="37" t="str">
        <f t="shared" si="4"/>
        <v/>
      </c>
    </row>
    <row r="33" spans="1:21" ht="36" customHeight="1" x14ac:dyDescent="0.35">
      <c r="A33" s="18" t="s">
        <v>1399</v>
      </c>
      <c r="B33" s="19"/>
      <c r="C33" s="18"/>
      <c r="D33" s="19"/>
      <c r="E33" s="19"/>
      <c r="F33" s="19"/>
      <c r="G33" s="19"/>
      <c r="H33" s="18"/>
      <c r="I33" s="18"/>
      <c r="J33" s="18" t="str">
        <f t="shared" si="0"/>
        <v/>
      </c>
      <c r="K33" s="18" t="str">
        <f t="shared" si="1"/>
        <v/>
      </c>
      <c r="L33" s="18" t="str">
        <f t="shared" si="2"/>
        <v/>
      </c>
      <c r="M33" s="18" t="str">
        <f t="shared" si="3"/>
        <v/>
      </c>
      <c r="N33" s="19"/>
      <c r="O33" s="19"/>
      <c r="P33" s="19"/>
      <c r="Q33" s="18"/>
      <c r="R33" s="18"/>
      <c r="S33" s="19"/>
      <c r="T33" s="19"/>
      <c r="U33" s="36" t="str">
        <f t="shared" si="4"/>
        <v/>
      </c>
    </row>
    <row r="34" spans="1:21" ht="36" customHeight="1" x14ac:dyDescent="0.35">
      <c r="A34" s="21" t="s">
        <v>1400</v>
      </c>
      <c r="B34" s="22"/>
      <c r="C34" s="21"/>
      <c r="D34" s="22"/>
      <c r="E34" s="22"/>
      <c r="F34" s="22"/>
      <c r="G34" s="22"/>
      <c r="H34" s="21"/>
      <c r="I34" s="21"/>
      <c r="J34" s="21" t="str">
        <f t="shared" si="0"/>
        <v/>
      </c>
      <c r="K34" s="21" t="str">
        <f t="shared" si="1"/>
        <v/>
      </c>
      <c r="L34" s="21" t="str">
        <f t="shared" si="2"/>
        <v/>
      </c>
      <c r="M34" s="21" t="str">
        <f t="shared" si="3"/>
        <v/>
      </c>
      <c r="N34" s="22"/>
      <c r="O34" s="22"/>
      <c r="P34" s="22"/>
      <c r="Q34" s="21"/>
      <c r="R34" s="21"/>
      <c r="S34" s="22"/>
      <c r="T34" s="22"/>
      <c r="U34" s="37" t="str">
        <f t="shared" si="4"/>
        <v/>
      </c>
    </row>
    <row r="35" spans="1:21" ht="36" customHeight="1" x14ac:dyDescent="0.35">
      <c r="A35" s="18" t="s">
        <v>1401</v>
      </c>
      <c r="B35" s="19"/>
      <c r="C35" s="18"/>
      <c r="D35" s="19"/>
      <c r="E35" s="19"/>
      <c r="F35" s="19"/>
      <c r="G35" s="19"/>
      <c r="H35" s="18"/>
      <c r="I35" s="18"/>
      <c r="J35" s="18" t="str">
        <f t="shared" si="0"/>
        <v/>
      </c>
      <c r="K35" s="18" t="str">
        <f t="shared" si="1"/>
        <v/>
      </c>
      <c r="L35" s="18" t="str">
        <f t="shared" si="2"/>
        <v/>
      </c>
      <c r="M35" s="18" t="str">
        <f t="shared" si="3"/>
        <v/>
      </c>
      <c r="N35" s="19"/>
      <c r="O35" s="19"/>
      <c r="P35" s="19"/>
      <c r="Q35" s="18"/>
      <c r="R35" s="18"/>
      <c r="S35" s="19"/>
      <c r="T35" s="19"/>
      <c r="U35" s="36" t="str">
        <f t="shared" si="4"/>
        <v/>
      </c>
    </row>
    <row r="36" spans="1:21" ht="36" customHeight="1" x14ac:dyDescent="0.35">
      <c r="A36" s="21" t="s">
        <v>1402</v>
      </c>
      <c r="B36" s="22"/>
      <c r="C36" s="21"/>
      <c r="D36" s="22"/>
      <c r="E36" s="22"/>
      <c r="F36" s="22"/>
      <c r="G36" s="22"/>
      <c r="H36" s="21"/>
      <c r="I36" s="21"/>
      <c r="J36" s="21" t="str">
        <f t="shared" si="0"/>
        <v/>
      </c>
      <c r="K36" s="21" t="str">
        <f t="shared" si="1"/>
        <v/>
      </c>
      <c r="L36" s="21" t="str">
        <f t="shared" si="2"/>
        <v/>
      </c>
      <c r="M36" s="21" t="str">
        <f t="shared" si="3"/>
        <v/>
      </c>
      <c r="N36" s="22"/>
      <c r="O36" s="22"/>
      <c r="P36" s="22"/>
      <c r="Q36" s="21"/>
      <c r="R36" s="21"/>
      <c r="S36" s="22"/>
      <c r="T36" s="22"/>
      <c r="U36" s="37" t="str">
        <f t="shared" si="4"/>
        <v/>
      </c>
    </row>
    <row r="37" spans="1:21" ht="36" customHeight="1" x14ac:dyDescent="0.35">
      <c r="A37" s="18" t="s">
        <v>1403</v>
      </c>
      <c r="B37" s="19"/>
      <c r="C37" s="18"/>
      <c r="D37" s="19"/>
      <c r="E37" s="19"/>
      <c r="F37" s="19"/>
      <c r="G37" s="19"/>
      <c r="H37" s="18"/>
      <c r="I37" s="18"/>
      <c r="J37" s="18" t="str">
        <f t="shared" ref="J37:J68" si="5">IF(OR(H37="",I37=""),"",H37*I37)</f>
        <v/>
      </c>
      <c r="K37" s="18" t="str">
        <f t="shared" ref="K37:K68" si="6">IF(J37="","",IF(J37&gt;=RISK_CRIT,"Critical",IF(J37&gt;=RISK_HIGH,"High",IF(J37&gt;=RISK_MED,"Medium","Low"))))</f>
        <v/>
      </c>
      <c r="L37" s="18" t="str">
        <f t="shared" ref="L37:L68" si="7">IF(K37="","",IF(OR(K37="Critical",K37="High"),"RED",IF(K37="Medium","AMBER","GREEN")))</f>
        <v/>
      </c>
      <c r="M37" s="18" t="str">
        <f t="shared" ref="M37:M64" si="8">IF(K37="","",IF(K37="Critical","P1 - Immediate",IF(K37="High","P2 - Next",IF(K37="Medium","P3 - Planned","P4 - Backlog"))))</f>
        <v/>
      </c>
      <c r="N37" s="19"/>
      <c r="O37" s="19"/>
      <c r="P37" s="19"/>
      <c r="Q37" s="18"/>
      <c r="R37" s="18"/>
      <c r="S37" s="19"/>
      <c r="T37" s="19"/>
      <c r="U37" s="36" t="str">
        <f t="shared" ref="U37:U64" si="9">IF(J37="","",J37+(1000-ROW())/100000)</f>
        <v/>
      </c>
    </row>
    <row r="38" spans="1:21" ht="36" customHeight="1" x14ac:dyDescent="0.35">
      <c r="A38" s="21" t="s">
        <v>1404</v>
      </c>
      <c r="B38" s="22"/>
      <c r="C38" s="21"/>
      <c r="D38" s="22"/>
      <c r="E38" s="22"/>
      <c r="F38" s="22"/>
      <c r="G38" s="22"/>
      <c r="H38" s="21"/>
      <c r="I38" s="21"/>
      <c r="J38" s="21" t="str">
        <f t="shared" si="5"/>
        <v/>
      </c>
      <c r="K38" s="21" t="str">
        <f t="shared" si="6"/>
        <v/>
      </c>
      <c r="L38" s="21" t="str">
        <f t="shared" si="7"/>
        <v/>
      </c>
      <c r="M38" s="21" t="str">
        <f t="shared" si="8"/>
        <v/>
      </c>
      <c r="N38" s="22"/>
      <c r="O38" s="22"/>
      <c r="P38" s="22"/>
      <c r="Q38" s="21"/>
      <c r="R38" s="21"/>
      <c r="S38" s="22"/>
      <c r="T38" s="22"/>
      <c r="U38" s="37" t="str">
        <f t="shared" si="9"/>
        <v/>
      </c>
    </row>
    <row r="39" spans="1:21" ht="36" customHeight="1" x14ac:dyDescent="0.35">
      <c r="A39" s="18" t="s">
        <v>1405</v>
      </c>
      <c r="B39" s="19"/>
      <c r="C39" s="18"/>
      <c r="D39" s="19"/>
      <c r="E39" s="19"/>
      <c r="F39" s="19"/>
      <c r="G39" s="19"/>
      <c r="H39" s="18"/>
      <c r="I39" s="18"/>
      <c r="J39" s="18" t="str">
        <f t="shared" si="5"/>
        <v/>
      </c>
      <c r="K39" s="18" t="str">
        <f t="shared" si="6"/>
        <v/>
      </c>
      <c r="L39" s="18" t="str">
        <f t="shared" si="7"/>
        <v/>
      </c>
      <c r="M39" s="18" t="str">
        <f t="shared" si="8"/>
        <v/>
      </c>
      <c r="N39" s="19"/>
      <c r="O39" s="19"/>
      <c r="P39" s="19"/>
      <c r="Q39" s="18"/>
      <c r="R39" s="18"/>
      <c r="S39" s="19"/>
      <c r="T39" s="19"/>
      <c r="U39" s="36" t="str">
        <f t="shared" si="9"/>
        <v/>
      </c>
    </row>
    <row r="40" spans="1:21" ht="36" customHeight="1" x14ac:dyDescent="0.35">
      <c r="A40" s="21" t="s">
        <v>1406</v>
      </c>
      <c r="B40" s="22"/>
      <c r="C40" s="21"/>
      <c r="D40" s="22"/>
      <c r="E40" s="22"/>
      <c r="F40" s="22"/>
      <c r="G40" s="22"/>
      <c r="H40" s="21"/>
      <c r="I40" s="21"/>
      <c r="J40" s="21" t="str">
        <f t="shared" si="5"/>
        <v/>
      </c>
      <c r="K40" s="21" t="str">
        <f t="shared" si="6"/>
        <v/>
      </c>
      <c r="L40" s="21" t="str">
        <f t="shared" si="7"/>
        <v/>
      </c>
      <c r="M40" s="21" t="str">
        <f t="shared" si="8"/>
        <v/>
      </c>
      <c r="N40" s="22"/>
      <c r="O40" s="22"/>
      <c r="P40" s="22"/>
      <c r="Q40" s="21"/>
      <c r="R40" s="21"/>
      <c r="S40" s="22"/>
      <c r="T40" s="22"/>
      <c r="U40" s="37" t="str">
        <f t="shared" si="9"/>
        <v/>
      </c>
    </row>
    <row r="41" spans="1:21" ht="36" customHeight="1" x14ac:dyDescent="0.35">
      <c r="A41" s="18" t="s">
        <v>1407</v>
      </c>
      <c r="B41" s="19"/>
      <c r="C41" s="18"/>
      <c r="D41" s="19"/>
      <c r="E41" s="19"/>
      <c r="F41" s="19"/>
      <c r="G41" s="19"/>
      <c r="H41" s="18"/>
      <c r="I41" s="18"/>
      <c r="J41" s="18" t="str">
        <f t="shared" si="5"/>
        <v/>
      </c>
      <c r="K41" s="18" t="str">
        <f t="shared" si="6"/>
        <v/>
      </c>
      <c r="L41" s="18" t="str">
        <f t="shared" si="7"/>
        <v/>
      </c>
      <c r="M41" s="18" t="str">
        <f t="shared" si="8"/>
        <v/>
      </c>
      <c r="N41" s="19"/>
      <c r="O41" s="19"/>
      <c r="P41" s="19"/>
      <c r="Q41" s="18"/>
      <c r="R41" s="18"/>
      <c r="S41" s="19"/>
      <c r="T41" s="19"/>
      <c r="U41" s="36" t="str">
        <f t="shared" si="9"/>
        <v/>
      </c>
    </row>
    <row r="42" spans="1:21" ht="36" customHeight="1" x14ac:dyDescent="0.35">
      <c r="A42" s="21" t="s">
        <v>1408</v>
      </c>
      <c r="B42" s="22"/>
      <c r="C42" s="21"/>
      <c r="D42" s="22"/>
      <c r="E42" s="22"/>
      <c r="F42" s="22"/>
      <c r="G42" s="22"/>
      <c r="H42" s="21"/>
      <c r="I42" s="21"/>
      <c r="J42" s="21" t="str">
        <f t="shared" si="5"/>
        <v/>
      </c>
      <c r="K42" s="21" t="str">
        <f t="shared" si="6"/>
        <v/>
      </c>
      <c r="L42" s="21" t="str">
        <f t="shared" si="7"/>
        <v/>
      </c>
      <c r="M42" s="21" t="str">
        <f t="shared" si="8"/>
        <v/>
      </c>
      <c r="N42" s="22"/>
      <c r="O42" s="22"/>
      <c r="P42" s="22"/>
      <c r="Q42" s="21"/>
      <c r="R42" s="21"/>
      <c r="S42" s="22"/>
      <c r="T42" s="22"/>
      <c r="U42" s="37" t="str">
        <f t="shared" si="9"/>
        <v/>
      </c>
    </row>
    <row r="43" spans="1:21" ht="36" customHeight="1" x14ac:dyDescent="0.35">
      <c r="A43" s="18" t="s">
        <v>1409</v>
      </c>
      <c r="B43" s="19"/>
      <c r="C43" s="18"/>
      <c r="D43" s="19"/>
      <c r="E43" s="19"/>
      <c r="F43" s="19"/>
      <c r="G43" s="19"/>
      <c r="H43" s="18"/>
      <c r="I43" s="18"/>
      <c r="J43" s="18" t="str">
        <f t="shared" si="5"/>
        <v/>
      </c>
      <c r="K43" s="18" t="str">
        <f t="shared" si="6"/>
        <v/>
      </c>
      <c r="L43" s="18" t="str">
        <f t="shared" si="7"/>
        <v/>
      </c>
      <c r="M43" s="18" t="str">
        <f t="shared" si="8"/>
        <v/>
      </c>
      <c r="N43" s="19"/>
      <c r="O43" s="19"/>
      <c r="P43" s="19"/>
      <c r="Q43" s="18"/>
      <c r="R43" s="18"/>
      <c r="S43" s="19"/>
      <c r="T43" s="19"/>
      <c r="U43" s="36" t="str">
        <f t="shared" si="9"/>
        <v/>
      </c>
    </row>
    <row r="44" spans="1:21" ht="36" customHeight="1" x14ac:dyDescent="0.35">
      <c r="A44" s="21" t="s">
        <v>1410</v>
      </c>
      <c r="B44" s="22"/>
      <c r="C44" s="21"/>
      <c r="D44" s="22"/>
      <c r="E44" s="22"/>
      <c r="F44" s="22"/>
      <c r="G44" s="22"/>
      <c r="H44" s="21"/>
      <c r="I44" s="21"/>
      <c r="J44" s="21" t="str">
        <f t="shared" si="5"/>
        <v/>
      </c>
      <c r="K44" s="21" t="str">
        <f t="shared" si="6"/>
        <v/>
      </c>
      <c r="L44" s="21" t="str">
        <f t="shared" si="7"/>
        <v/>
      </c>
      <c r="M44" s="21" t="str">
        <f t="shared" si="8"/>
        <v/>
      </c>
      <c r="N44" s="22"/>
      <c r="O44" s="22"/>
      <c r="P44" s="22"/>
      <c r="Q44" s="21"/>
      <c r="R44" s="21"/>
      <c r="S44" s="22"/>
      <c r="T44" s="22"/>
      <c r="U44" s="37" t="str">
        <f t="shared" si="9"/>
        <v/>
      </c>
    </row>
    <row r="45" spans="1:21" ht="36" customHeight="1" x14ac:dyDescent="0.35">
      <c r="A45" s="18" t="s">
        <v>1411</v>
      </c>
      <c r="B45" s="19"/>
      <c r="C45" s="18"/>
      <c r="D45" s="19"/>
      <c r="E45" s="19"/>
      <c r="F45" s="19"/>
      <c r="G45" s="19"/>
      <c r="H45" s="18"/>
      <c r="I45" s="18"/>
      <c r="J45" s="18" t="str">
        <f t="shared" si="5"/>
        <v/>
      </c>
      <c r="K45" s="18" t="str">
        <f t="shared" si="6"/>
        <v/>
      </c>
      <c r="L45" s="18" t="str">
        <f t="shared" si="7"/>
        <v/>
      </c>
      <c r="M45" s="18" t="str">
        <f t="shared" si="8"/>
        <v/>
      </c>
      <c r="N45" s="19"/>
      <c r="O45" s="19"/>
      <c r="P45" s="19"/>
      <c r="Q45" s="18"/>
      <c r="R45" s="18"/>
      <c r="S45" s="19"/>
      <c r="T45" s="19"/>
      <c r="U45" s="36" t="str">
        <f t="shared" si="9"/>
        <v/>
      </c>
    </row>
    <row r="46" spans="1:21" ht="36" customHeight="1" x14ac:dyDescent="0.35">
      <c r="A46" s="21" t="s">
        <v>1412</v>
      </c>
      <c r="B46" s="22"/>
      <c r="C46" s="21"/>
      <c r="D46" s="22"/>
      <c r="E46" s="22"/>
      <c r="F46" s="22"/>
      <c r="G46" s="22"/>
      <c r="H46" s="21"/>
      <c r="I46" s="21"/>
      <c r="J46" s="21" t="str">
        <f t="shared" si="5"/>
        <v/>
      </c>
      <c r="K46" s="21" t="str">
        <f t="shared" si="6"/>
        <v/>
      </c>
      <c r="L46" s="21" t="str">
        <f t="shared" si="7"/>
        <v/>
      </c>
      <c r="M46" s="21" t="str">
        <f t="shared" si="8"/>
        <v/>
      </c>
      <c r="N46" s="22"/>
      <c r="O46" s="22"/>
      <c r="P46" s="22"/>
      <c r="Q46" s="21"/>
      <c r="R46" s="21"/>
      <c r="S46" s="22"/>
      <c r="T46" s="22"/>
      <c r="U46" s="37" t="str">
        <f t="shared" si="9"/>
        <v/>
      </c>
    </row>
    <row r="47" spans="1:21" ht="36" customHeight="1" x14ac:dyDescent="0.35">
      <c r="A47" s="18" t="s">
        <v>1413</v>
      </c>
      <c r="B47" s="19"/>
      <c r="C47" s="18"/>
      <c r="D47" s="19"/>
      <c r="E47" s="19"/>
      <c r="F47" s="19"/>
      <c r="G47" s="19"/>
      <c r="H47" s="18"/>
      <c r="I47" s="18"/>
      <c r="J47" s="18" t="str">
        <f t="shared" si="5"/>
        <v/>
      </c>
      <c r="K47" s="18" t="str">
        <f t="shared" si="6"/>
        <v/>
      </c>
      <c r="L47" s="18" t="str">
        <f t="shared" si="7"/>
        <v/>
      </c>
      <c r="M47" s="18" t="str">
        <f t="shared" si="8"/>
        <v/>
      </c>
      <c r="N47" s="19"/>
      <c r="O47" s="19"/>
      <c r="P47" s="19"/>
      <c r="Q47" s="18"/>
      <c r="R47" s="18"/>
      <c r="S47" s="19"/>
      <c r="T47" s="19"/>
      <c r="U47" s="36" t="str">
        <f t="shared" si="9"/>
        <v/>
      </c>
    </row>
    <row r="48" spans="1:21" ht="36" customHeight="1" x14ac:dyDescent="0.35">
      <c r="A48" s="21" t="s">
        <v>1414</v>
      </c>
      <c r="B48" s="22"/>
      <c r="C48" s="21"/>
      <c r="D48" s="22"/>
      <c r="E48" s="22"/>
      <c r="F48" s="22"/>
      <c r="G48" s="22"/>
      <c r="H48" s="21"/>
      <c r="I48" s="21"/>
      <c r="J48" s="21" t="str">
        <f t="shared" si="5"/>
        <v/>
      </c>
      <c r="K48" s="21" t="str">
        <f t="shared" si="6"/>
        <v/>
      </c>
      <c r="L48" s="21" t="str">
        <f t="shared" si="7"/>
        <v/>
      </c>
      <c r="M48" s="21" t="str">
        <f t="shared" si="8"/>
        <v/>
      </c>
      <c r="N48" s="22"/>
      <c r="O48" s="22"/>
      <c r="P48" s="22"/>
      <c r="Q48" s="21"/>
      <c r="R48" s="21"/>
      <c r="S48" s="22"/>
      <c r="T48" s="22"/>
      <c r="U48" s="37" t="str">
        <f t="shared" si="9"/>
        <v/>
      </c>
    </row>
    <row r="49" spans="1:21" ht="36" customHeight="1" x14ac:dyDescent="0.35">
      <c r="A49" s="18" t="s">
        <v>1415</v>
      </c>
      <c r="B49" s="19"/>
      <c r="C49" s="18"/>
      <c r="D49" s="19"/>
      <c r="E49" s="19"/>
      <c r="F49" s="19"/>
      <c r="G49" s="19"/>
      <c r="H49" s="18"/>
      <c r="I49" s="18"/>
      <c r="J49" s="18" t="str">
        <f t="shared" si="5"/>
        <v/>
      </c>
      <c r="K49" s="18" t="str">
        <f t="shared" si="6"/>
        <v/>
      </c>
      <c r="L49" s="18" t="str">
        <f t="shared" si="7"/>
        <v/>
      </c>
      <c r="M49" s="18" t="str">
        <f t="shared" si="8"/>
        <v/>
      </c>
      <c r="N49" s="19"/>
      <c r="O49" s="19"/>
      <c r="P49" s="19"/>
      <c r="Q49" s="18"/>
      <c r="R49" s="18"/>
      <c r="S49" s="19"/>
      <c r="T49" s="19"/>
      <c r="U49" s="36" t="str">
        <f t="shared" si="9"/>
        <v/>
      </c>
    </row>
    <row r="50" spans="1:21" ht="36" customHeight="1" x14ac:dyDescent="0.35">
      <c r="A50" s="21" t="s">
        <v>1416</v>
      </c>
      <c r="B50" s="22"/>
      <c r="C50" s="21"/>
      <c r="D50" s="22"/>
      <c r="E50" s="22"/>
      <c r="F50" s="22"/>
      <c r="G50" s="22"/>
      <c r="H50" s="21"/>
      <c r="I50" s="21"/>
      <c r="J50" s="21" t="str">
        <f t="shared" si="5"/>
        <v/>
      </c>
      <c r="K50" s="21" t="str">
        <f t="shared" si="6"/>
        <v/>
      </c>
      <c r="L50" s="21" t="str">
        <f t="shared" si="7"/>
        <v/>
      </c>
      <c r="M50" s="21" t="str">
        <f t="shared" si="8"/>
        <v/>
      </c>
      <c r="N50" s="22"/>
      <c r="O50" s="22"/>
      <c r="P50" s="22"/>
      <c r="Q50" s="21"/>
      <c r="R50" s="21"/>
      <c r="S50" s="22"/>
      <c r="T50" s="22"/>
      <c r="U50" s="37" t="str">
        <f t="shared" si="9"/>
        <v/>
      </c>
    </row>
    <row r="51" spans="1:21" ht="36" customHeight="1" x14ac:dyDescent="0.35">
      <c r="A51" s="18" t="s">
        <v>1417</v>
      </c>
      <c r="B51" s="19"/>
      <c r="C51" s="18"/>
      <c r="D51" s="19"/>
      <c r="E51" s="19"/>
      <c r="F51" s="19"/>
      <c r="G51" s="19"/>
      <c r="H51" s="18"/>
      <c r="I51" s="18"/>
      <c r="J51" s="18" t="str">
        <f t="shared" si="5"/>
        <v/>
      </c>
      <c r="K51" s="18" t="str">
        <f t="shared" si="6"/>
        <v/>
      </c>
      <c r="L51" s="18" t="str">
        <f t="shared" si="7"/>
        <v/>
      </c>
      <c r="M51" s="18" t="str">
        <f t="shared" si="8"/>
        <v/>
      </c>
      <c r="N51" s="19"/>
      <c r="O51" s="19"/>
      <c r="P51" s="19"/>
      <c r="Q51" s="18"/>
      <c r="R51" s="18"/>
      <c r="S51" s="19"/>
      <c r="T51" s="19"/>
      <c r="U51" s="36" t="str">
        <f t="shared" si="9"/>
        <v/>
      </c>
    </row>
    <row r="52" spans="1:21" ht="36" customHeight="1" x14ac:dyDescent="0.35">
      <c r="A52" s="21" t="s">
        <v>1418</v>
      </c>
      <c r="B52" s="22"/>
      <c r="C52" s="21"/>
      <c r="D52" s="22"/>
      <c r="E52" s="22"/>
      <c r="F52" s="22"/>
      <c r="G52" s="22"/>
      <c r="H52" s="21"/>
      <c r="I52" s="21"/>
      <c r="J52" s="21" t="str">
        <f t="shared" si="5"/>
        <v/>
      </c>
      <c r="K52" s="21" t="str">
        <f t="shared" si="6"/>
        <v/>
      </c>
      <c r="L52" s="21" t="str">
        <f t="shared" si="7"/>
        <v/>
      </c>
      <c r="M52" s="21" t="str">
        <f t="shared" si="8"/>
        <v/>
      </c>
      <c r="N52" s="22"/>
      <c r="O52" s="22"/>
      <c r="P52" s="22"/>
      <c r="Q52" s="21"/>
      <c r="R52" s="21"/>
      <c r="S52" s="22"/>
      <c r="T52" s="22"/>
      <c r="U52" s="37" t="str">
        <f t="shared" si="9"/>
        <v/>
      </c>
    </row>
    <row r="53" spans="1:21" ht="36" customHeight="1" x14ac:dyDescent="0.35">
      <c r="A53" s="18" t="s">
        <v>1419</v>
      </c>
      <c r="B53" s="19"/>
      <c r="C53" s="18"/>
      <c r="D53" s="19"/>
      <c r="E53" s="19"/>
      <c r="F53" s="19"/>
      <c r="G53" s="19"/>
      <c r="H53" s="18"/>
      <c r="I53" s="18"/>
      <c r="J53" s="18" t="str">
        <f t="shared" si="5"/>
        <v/>
      </c>
      <c r="K53" s="18" t="str">
        <f t="shared" si="6"/>
        <v/>
      </c>
      <c r="L53" s="18" t="str">
        <f t="shared" si="7"/>
        <v/>
      </c>
      <c r="M53" s="18" t="str">
        <f t="shared" si="8"/>
        <v/>
      </c>
      <c r="N53" s="19"/>
      <c r="O53" s="19"/>
      <c r="P53" s="19"/>
      <c r="Q53" s="18"/>
      <c r="R53" s="18"/>
      <c r="S53" s="19"/>
      <c r="T53" s="19"/>
      <c r="U53" s="36" t="str">
        <f t="shared" si="9"/>
        <v/>
      </c>
    </row>
    <row r="54" spans="1:21" ht="36" customHeight="1" x14ac:dyDescent="0.35">
      <c r="A54" s="21" t="s">
        <v>1420</v>
      </c>
      <c r="B54" s="22"/>
      <c r="C54" s="21"/>
      <c r="D54" s="22"/>
      <c r="E54" s="22"/>
      <c r="F54" s="22"/>
      <c r="G54" s="22"/>
      <c r="H54" s="21"/>
      <c r="I54" s="21"/>
      <c r="J54" s="21" t="str">
        <f t="shared" si="5"/>
        <v/>
      </c>
      <c r="K54" s="21" t="str">
        <f t="shared" si="6"/>
        <v/>
      </c>
      <c r="L54" s="21" t="str">
        <f t="shared" si="7"/>
        <v/>
      </c>
      <c r="M54" s="21" t="str">
        <f t="shared" si="8"/>
        <v/>
      </c>
      <c r="N54" s="22"/>
      <c r="O54" s="22"/>
      <c r="P54" s="22"/>
      <c r="Q54" s="21"/>
      <c r="R54" s="21"/>
      <c r="S54" s="22"/>
      <c r="T54" s="22"/>
      <c r="U54" s="37" t="str">
        <f t="shared" si="9"/>
        <v/>
      </c>
    </row>
    <row r="55" spans="1:21" ht="36" customHeight="1" x14ac:dyDescent="0.35">
      <c r="A55" s="18" t="s">
        <v>1421</v>
      </c>
      <c r="B55" s="19"/>
      <c r="C55" s="18"/>
      <c r="D55" s="19"/>
      <c r="E55" s="19"/>
      <c r="F55" s="19"/>
      <c r="G55" s="19"/>
      <c r="H55" s="18"/>
      <c r="I55" s="18"/>
      <c r="J55" s="18" t="str">
        <f t="shared" si="5"/>
        <v/>
      </c>
      <c r="K55" s="18" t="str">
        <f t="shared" si="6"/>
        <v/>
      </c>
      <c r="L55" s="18" t="str">
        <f t="shared" si="7"/>
        <v/>
      </c>
      <c r="M55" s="18" t="str">
        <f t="shared" si="8"/>
        <v/>
      </c>
      <c r="N55" s="19"/>
      <c r="O55" s="19"/>
      <c r="P55" s="19"/>
      <c r="Q55" s="18"/>
      <c r="R55" s="18"/>
      <c r="S55" s="19"/>
      <c r="T55" s="19"/>
      <c r="U55" s="36" t="str">
        <f t="shared" si="9"/>
        <v/>
      </c>
    </row>
    <row r="56" spans="1:21" ht="36" customHeight="1" x14ac:dyDescent="0.35">
      <c r="A56" s="21" t="s">
        <v>1422</v>
      </c>
      <c r="B56" s="22"/>
      <c r="C56" s="21"/>
      <c r="D56" s="22"/>
      <c r="E56" s="22"/>
      <c r="F56" s="22"/>
      <c r="G56" s="22"/>
      <c r="H56" s="21"/>
      <c r="I56" s="21"/>
      <c r="J56" s="21" t="str">
        <f t="shared" si="5"/>
        <v/>
      </c>
      <c r="K56" s="21" t="str">
        <f t="shared" si="6"/>
        <v/>
      </c>
      <c r="L56" s="21" t="str">
        <f t="shared" si="7"/>
        <v/>
      </c>
      <c r="M56" s="21" t="str">
        <f t="shared" si="8"/>
        <v/>
      </c>
      <c r="N56" s="22"/>
      <c r="O56" s="22"/>
      <c r="P56" s="22"/>
      <c r="Q56" s="21"/>
      <c r="R56" s="21"/>
      <c r="S56" s="22"/>
      <c r="T56" s="22"/>
      <c r="U56" s="37" t="str">
        <f t="shared" si="9"/>
        <v/>
      </c>
    </row>
    <row r="57" spans="1:21" ht="36" customHeight="1" x14ac:dyDescent="0.35">
      <c r="A57" s="18" t="s">
        <v>1423</v>
      </c>
      <c r="B57" s="19"/>
      <c r="C57" s="18"/>
      <c r="D57" s="19"/>
      <c r="E57" s="19"/>
      <c r="F57" s="19"/>
      <c r="G57" s="19"/>
      <c r="H57" s="18"/>
      <c r="I57" s="18"/>
      <c r="J57" s="18" t="str">
        <f t="shared" si="5"/>
        <v/>
      </c>
      <c r="K57" s="18" t="str">
        <f t="shared" si="6"/>
        <v/>
      </c>
      <c r="L57" s="18" t="str">
        <f t="shared" si="7"/>
        <v/>
      </c>
      <c r="M57" s="18" t="str">
        <f t="shared" si="8"/>
        <v/>
      </c>
      <c r="N57" s="19"/>
      <c r="O57" s="19"/>
      <c r="P57" s="19"/>
      <c r="Q57" s="18"/>
      <c r="R57" s="18"/>
      <c r="S57" s="19"/>
      <c r="T57" s="19"/>
      <c r="U57" s="36" t="str">
        <f t="shared" si="9"/>
        <v/>
      </c>
    </row>
    <row r="58" spans="1:21" ht="36" customHeight="1" x14ac:dyDescent="0.35">
      <c r="A58" s="21" t="s">
        <v>1424</v>
      </c>
      <c r="B58" s="22"/>
      <c r="C58" s="21"/>
      <c r="D58" s="22"/>
      <c r="E58" s="22"/>
      <c r="F58" s="22"/>
      <c r="G58" s="22"/>
      <c r="H58" s="21"/>
      <c r="I58" s="21"/>
      <c r="J58" s="21" t="str">
        <f t="shared" si="5"/>
        <v/>
      </c>
      <c r="K58" s="21" t="str">
        <f t="shared" si="6"/>
        <v/>
      </c>
      <c r="L58" s="21" t="str">
        <f t="shared" si="7"/>
        <v/>
      </c>
      <c r="M58" s="21" t="str">
        <f t="shared" si="8"/>
        <v/>
      </c>
      <c r="N58" s="22"/>
      <c r="O58" s="22"/>
      <c r="P58" s="22"/>
      <c r="Q58" s="21"/>
      <c r="R58" s="21"/>
      <c r="S58" s="22"/>
      <c r="T58" s="22"/>
      <c r="U58" s="37" t="str">
        <f t="shared" si="9"/>
        <v/>
      </c>
    </row>
    <row r="59" spans="1:21" ht="36" customHeight="1" x14ac:dyDescent="0.35">
      <c r="A59" s="18" t="s">
        <v>1425</v>
      </c>
      <c r="B59" s="19"/>
      <c r="C59" s="18"/>
      <c r="D59" s="19"/>
      <c r="E59" s="19"/>
      <c r="F59" s="19"/>
      <c r="G59" s="19"/>
      <c r="H59" s="18"/>
      <c r="I59" s="18"/>
      <c r="J59" s="18" t="str">
        <f t="shared" si="5"/>
        <v/>
      </c>
      <c r="K59" s="18" t="str">
        <f t="shared" si="6"/>
        <v/>
      </c>
      <c r="L59" s="18" t="str">
        <f t="shared" si="7"/>
        <v/>
      </c>
      <c r="M59" s="18" t="str">
        <f t="shared" si="8"/>
        <v/>
      </c>
      <c r="N59" s="19"/>
      <c r="O59" s="19"/>
      <c r="P59" s="19"/>
      <c r="Q59" s="18"/>
      <c r="R59" s="18"/>
      <c r="S59" s="19"/>
      <c r="T59" s="19"/>
      <c r="U59" s="36" t="str">
        <f t="shared" si="9"/>
        <v/>
      </c>
    </row>
    <row r="60" spans="1:21" ht="36" customHeight="1" x14ac:dyDescent="0.35">
      <c r="A60" s="21" t="s">
        <v>1426</v>
      </c>
      <c r="B60" s="22"/>
      <c r="C60" s="21"/>
      <c r="D60" s="22"/>
      <c r="E60" s="22"/>
      <c r="F60" s="22"/>
      <c r="G60" s="22"/>
      <c r="H60" s="21"/>
      <c r="I60" s="21"/>
      <c r="J60" s="21" t="str">
        <f t="shared" si="5"/>
        <v/>
      </c>
      <c r="K60" s="21" t="str">
        <f t="shared" si="6"/>
        <v/>
      </c>
      <c r="L60" s="21" t="str">
        <f t="shared" si="7"/>
        <v/>
      </c>
      <c r="M60" s="21" t="str">
        <f t="shared" si="8"/>
        <v/>
      </c>
      <c r="N60" s="22"/>
      <c r="O60" s="22"/>
      <c r="P60" s="22"/>
      <c r="Q60" s="21"/>
      <c r="R60" s="21"/>
      <c r="S60" s="22"/>
      <c r="T60" s="22"/>
      <c r="U60" s="37" t="str">
        <f t="shared" si="9"/>
        <v/>
      </c>
    </row>
    <row r="61" spans="1:21" ht="36" customHeight="1" x14ac:dyDescent="0.35">
      <c r="A61" s="18" t="s">
        <v>1427</v>
      </c>
      <c r="B61" s="19"/>
      <c r="C61" s="18"/>
      <c r="D61" s="19"/>
      <c r="E61" s="19"/>
      <c r="F61" s="19"/>
      <c r="G61" s="19"/>
      <c r="H61" s="18"/>
      <c r="I61" s="18"/>
      <c r="J61" s="18" t="str">
        <f t="shared" si="5"/>
        <v/>
      </c>
      <c r="K61" s="18" t="str">
        <f t="shared" si="6"/>
        <v/>
      </c>
      <c r="L61" s="18" t="str">
        <f t="shared" si="7"/>
        <v/>
      </c>
      <c r="M61" s="18" t="str">
        <f t="shared" si="8"/>
        <v/>
      </c>
      <c r="N61" s="19"/>
      <c r="O61" s="19"/>
      <c r="P61" s="19"/>
      <c r="Q61" s="18"/>
      <c r="R61" s="18"/>
      <c r="S61" s="19"/>
      <c r="T61" s="19"/>
      <c r="U61" s="36" t="str">
        <f t="shared" si="9"/>
        <v/>
      </c>
    </row>
    <row r="62" spans="1:21" ht="36" customHeight="1" x14ac:dyDescent="0.35">
      <c r="A62" s="21" t="s">
        <v>1428</v>
      </c>
      <c r="B62" s="22"/>
      <c r="C62" s="21"/>
      <c r="D62" s="22"/>
      <c r="E62" s="22"/>
      <c r="F62" s="22"/>
      <c r="G62" s="22"/>
      <c r="H62" s="21"/>
      <c r="I62" s="21"/>
      <c r="J62" s="21" t="str">
        <f t="shared" si="5"/>
        <v/>
      </c>
      <c r="K62" s="21" t="str">
        <f t="shared" si="6"/>
        <v/>
      </c>
      <c r="L62" s="21" t="str">
        <f t="shared" si="7"/>
        <v/>
      </c>
      <c r="M62" s="21" t="str">
        <f t="shared" si="8"/>
        <v/>
      </c>
      <c r="N62" s="22"/>
      <c r="O62" s="22"/>
      <c r="P62" s="22"/>
      <c r="Q62" s="21"/>
      <c r="R62" s="21"/>
      <c r="S62" s="22"/>
      <c r="T62" s="22"/>
      <c r="U62" s="37" t="str">
        <f t="shared" si="9"/>
        <v/>
      </c>
    </row>
    <row r="63" spans="1:21" ht="36" customHeight="1" x14ac:dyDescent="0.35">
      <c r="A63" s="18" t="s">
        <v>1429</v>
      </c>
      <c r="B63" s="19"/>
      <c r="C63" s="18"/>
      <c r="D63" s="19"/>
      <c r="E63" s="19"/>
      <c r="F63" s="19"/>
      <c r="G63" s="19"/>
      <c r="H63" s="18"/>
      <c r="I63" s="18"/>
      <c r="J63" s="18" t="str">
        <f t="shared" si="5"/>
        <v/>
      </c>
      <c r="K63" s="18" t="str">
        <f t="shared" si="6"/>
        <v/>
      </c>
      <c r="L63" s="18" t="str">
        <f t="shared" si="7"/>
        <v/>
      </c>
      <c r="M63" s="18" t="str">
        <f t="shared" si="8"/>
        <v/>
      </c>
      <c r="N63" s="19"/>
      <c r="O63" s="19"/>
      <c r="P63" s="19"/>
      <c r="Q63" s="18"/>
      <c r="R63" s="18"/>
      <c r="S63" s="19"/>
      <c r="T63" s="19"/>
      <c r="U63" s="36" t="str">
        <f t="shared" si="9"/>
        <v/>
      </c>
    </row>
    <row r="64" spans="1:21" ht="36" customHeight="1" x14ac:dyDescent="0.35">
      <c r="A64" s="21" t="s">
        <v>1430</v>
      </c>
      <c r="B64" s="22"/>
      <c r="C64" s="21"/>
      <c r="D64" s="22"/>
      <c r="E64" s="22"/>
      <c r="F64" s="22"/>
      <c r="G64" s="22"/>
      <c r="H64" s="21"/>
      <c r="I64" s="21"/>
      <c r="J64" s="21" t="str">
        <f t="shared" si="5"/>
        <v/>
      </c>
      <c r="K64" s="21" t="str">
        <f t="shared" si="6"/>
        <v/>
      </c>
      <c r="L64" s="21" t="str">
        <f t="shared" si="7"/>
        <v/>
      </c>
      <c r="M64" s="21" t="str">
        <f t="shared" si="8"/>
        <v/>
      </c>
      <c r="N64" s="22"/>
      <c r="O64" s="22"/>
      <c r="P64" s="22"/>
      <c r="Q64" s="21"/>
      <c r="R64" s="21"/>
      <c r="S64" s="22"/>
      <c r="T64" s="22"/>
      <c r="U64" s="37" t="str">
        <f t="shared" si="9"/>
        <v/>
      </c>
    </row>
  </sheetData>
  <autoFilter ref="A4:U64" xr:uid="{00000000-0009-0000-0000-00000B000000}"/>
  <mergeCells count="2">
    <mergeCell ref="A1:U1"/>
    <mergeCell ref="A2:U2"/>
  </mergeCells>
  <conditionalFormatting sqref="K5:K64">
    <cfRule type="expression" dxfId="33" priority="1">
      <formula>ISNUMBER(SEARCH("Critical",K5))</formula>
    </cfRule>
    <cfRule type="expression" dxfId="32" priority="2">
      <formula>ISNUMBER(SEARCH("High",K5))</formula>
    </cfRule>
    <cfRule type="expression" dxfId="31" priority="3">
      <formula>ISNUMBER(SEARCH("Medium",K5))</formula>
    </cfRule>
    <cfRule type="expression" dxfId="30" priority="4">
      <formula>ISNUMBER(SEARCH("Low",K5))</formula>
    </cfRule>
  </conditionalFormatting>
  <conditionalFormatting sqref="L5:L64">
    <cfRule type="expression" dxfId="29" priority="5">
      <formula>ISNUMBER(SEARCH("RED",L5))</formula>
    </cfRule>
    <cfRule type="expression" dxfId="28" priority="6">
      <formula>ISNUMBER(SEARCH("AMBER",L5))</formula>
    </cfRule>
    <cfRule type="expression" dxfId="27" priority="7">
      <formula>ISNUMBER(SEARCH("GREEN",L5))</formula>
    </cfRule>
  </conditionalFormatting>
  <conditionalFormatting sqref="R5:R64">
    <cfRule type="expression" dxfId="26" priority="8">
      <formula>ISNUMBER(SEARCH("Open",R5))</formula>
    </cfRule>
    <cfRule type="expression" dxfId="25" priority="9">
      <formula>ISNUMBER(SEARCH("In Progress",R5))</formula>
    </cfRule>
    <cfRule type="expression" dxfId="24" priority="10">
      <formula>ISNUMBER(SEARCH("Closed",R5))</formula>
    </cfRule>
  </conditionalFormatting>
  <dataValidations count="3">
    <dataValidation type="list" allowBlank="1" showErrorMessage="1" errorTitle="Invalid Entry" error="Select a value from the list." sqref="B5:B64" xr:uid="{00000000-0002-0000-0B00-000000000000}">
      <formula1>"Architecture Review,Traffic Flow Validation,HA &amp; Resilience,Third-Party Integration,Migration &amp; Cutover,Other"</formula1>
    </dataValidation>
    <dataValidation type="whole" allowBlank="1" showErrorMessage="1" errorTitle="Invalid Rating" error="Enter a whole number between 1 and 5" sqref="H5:I64" xr:uid="{00000000-0002-0000-0B00-000001000000}">
      <formula1>1</formula1>
      <formula2>5</formula2>
    </dataValidation>
    <dataValidation type="list" allowBlank="1" showErrorMessage="1" errorTitle="Invalid Entry" error="Select a value from the list." sqref="R5:R64" xr:uid="{00000000-0002-0000-0B00-000002000000}">
      <formula1>"Open,In Progress,Closed,Deferred,Risk Accepted"</formula1>
    </dataValidation>
  </dataValidations>
  <pageMargins left="0.75" right="0.75" top="1" bottom="1" header="0.5" footer="0.5"/>
  <pageSetup fitToHeight="0"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B2A4A"/>
    <pageSetUpPr fitToPage="1"/>
  </sheetPr>
  <dimension ref="A1:K19"/>
  <sheetViews>
    <sheetView showGridLines="0" workbookViewId="0">
      <pane ySplit="4" topLeftCell="A5" activePane="bottomLeft" state="frozen"/>
      <selection pane="bottomLeft"/>
    </sheetView>
  </sheetViews>
  <sheetFormatPr defaultRowHeight="14.5" x14ac:dyDescent="0.35"/>
  <cols>
    <col min="1" max="1" width="7" customWidth="1"/>
    <col min="2" max="2" width="32" customWidth="1"/>
    <col min="3" max="3" width="46" customWidth="1"/>
    <col min="4" max="4" width="40" customWidth="1"/>
    <col min="5" max="5" width="20" customWidth="1"/>
    <col min="6" max="6" width="16" customWidth="1"/>
    <col min="7" max="8" width="12" customWidth="1"/>
    <col min="9" max="9" width="14" customWidth="1"/>
    <col min="10" max="10" width="16" customWidth="1"/>
    <col min="11" max="11" width="30" customWidth="1"/>
  </cols>
  <sheetData>
    <row r="1" spans="1:11" ht="32" customHeight="1" x14ac:dyDescent="0.35">
      <c r="A1" s="63" t="s">
        <v>1431</v>
      </c>
      <c r="B1" s="54"/>
      <c r="C1" s="54"/>
      <c r="D1" s="54"/>
      <c r="E1" s="54"/>
      <c r="F1" s="54"/>
      <c r="G1" s="54"/>
      <c r="H1" s="54"/>
      <c r="I1" s="54"/>
      <c r="J1" s="54"/>
      <c r="K1" s="54"/>
    </row>
    <row r="2" spans="1:11" ht="22" customHeight="1" x14ac:dyDescent="0.35">
      <c r="A2" s="64" t="s">
        <v>1432</v>
      </c>
      <c r="B2" s="54"/>
      <c r="C2" s="54"/>
      <c r="D2" s="54"/>
      <c r="E2" s="54"/>
      <c r="F2" s="54"/>
      <c r="G2" s="54"/>
      <c r="H2" s="54"/>
      <c r="I2" s="54"/>
      <c r="J2" s="54"/>
      <c r="K2" s="54"/>
    </row>
    <row r="4" spans="1:11" ht="34" customHeight="1" x14ac:dyDescent="0.35">
      <c r="A4" s="3" t="s">
        <v>1433</v>
      </c>
      <c r="B4" s="3" t="s">
        <v>1434</v>
      </c>
      <c r="C4" s="3" t="s">
        <v>1435</v>
      </c>
      <c r="D4" s="3" t="s">
        <v>1436</v>
      </c>
      <c r="E4" s="3" t="s">
        <v>76</v>
      </c>
      <c r="F4" s="3" t="s">
        <v>227</v>
      </c>
      <c r="G4" s="3" t="s">
        <v>228</v>
      </c>
      <c r="H4" s="3" t="s">
        <v>1437</v>
      </c>
      <c r="I4" s="3" t="s">
        <v>1438</v>
      </c>
      <c r="J4" s="3" t="s">
        <v>1439</v>
      </c>
      <c r="K4" s="3" t="s">
        <v>94</v>
      </c>
    </row>
    <row r="5" spans="1:11" ht="34" customHeight="1" x14ac:dyDescent="0.35">
      <c r="A5" s="18" t="s">
        <v>140</v>
      </c>
      <c r="B5" s="38" t="s">
        <v>1440</v>
      </c>
      <c r="C5" s="19" t="s">
        <v>1441</v>
      </c>
      <c r="D5" s="19" t="s">
        <v>1442</v>
      </c>
      <c r="E5" s="18" t="s">
        <v>1443</v>
      </c>
      <c r="F5" s="27" t="s">
        <v>237</v>
      </c>
      <c r="G5" s="28" t="s">
        <v>238</v>
      </c>
      <c r="H5" s="18"/>
      <c r="I5" s="18" t="s">
        <v>1444</v>
      </c>
      <c r="J5" s="18" t="s">
        <v>1445</v>
      </c>
      <c r="K5" s="19"/>
    </row>
    <row r="6" spans="1:11" ht="34" customHeight="1" x14ac:dyDescent="0.35">
      <c r="A6" s="21" t="s">
        <v>165</v>
      </c>
      <c r="B6" s="39" t="s">
        <v>1446</v>
      </c>
      <c r="C6" s="22" t="s">
        <v>1447</v>
      </c>
      <c r="D6" s="22" t="s">
        <v>1448</v>
      </c>
      <c r="E6" s="21" t="s">
        <v>1443</v>
      </c>
      <c r="F6" s="31" t="s">
        <v>237</v>
      </c>
      <c r="G6" s="32" t="s">
        <v>238</v>
      </c>
      <c r="H6" s="21"/>
      <c r="I6" s="21" t="s">
        <v>1444</v>
      </c>
      <c r="J6" s="21" t="s">
        <v>1445</v>
      </c>
      <c r="K6" s="22"/>
    </row>
    <row r="7" spans="1:11" ht="34" customHeight="1" x14ac:dyDescent="0.35">
      <c r="A7" s="18" t="s">
        <v>177</v>
      </c>
      <c r="B7" s="38" t="s">
        <v>1449</v>
      </c>
      <c r="C7" s="19" t="s">
        <v>1450</v>
      </c>
      <c r="D7" s="19" t="s">
        <v>1451</v>
      </c>
      <c r="E7" s="18" t="s">
        <v>1443</v>
      </c>
      <c r="F7" s="27" t="s">
        <v>237</v>
      </c>
      <c r="G7" s="28" t="s">
        <v>238</v>
      </c>
      <c r="H7" s="18"/>
      <c r="I7" s="18" t="s">
        <v>1444</v>
      </c>
      <c r="J7" s="18" t="s">
        <v>1445</v>
      </c>
      <c r="K7" s="19"/>
    </row>
    <row r="8" spans="1:11" ht="34" customHeight="1" x14ac:dyDescent="0.35">
      <c r="A8" s="21" t="s">
        <v>189</v>
      </c>
      <c r="B8" s="39" t="s">
        <v>49</v>
      </c>
      <c r="C8" s="22" t="s">
        <v>1452</v>
      </c>
      <c r="D8" s="22" t="s">
        <v>1453</v>
      </c>
      <c r="E8" s="21" t="s">
        <v>1443</v>
      </c>
      <c r="F8" s="31" t="s">
        <v>237</v>
      </c>
      <c r="G8" s="32" t="s">
        <v>238</v>
      </c>
      <c r="H8" s="21"/>
      <c r="I8" s="21" t="s">
        <v>1444</v>
      </c>
      <c r="J8" s="21" t="s">
        <v>1445</v>
      </c>
      <c r="K8" s="22"/>
    </row>
    <row r="9" spans="1:11" ht="34" customHeight="1" x14ac:dyDescent="0.35">
      <c r="A9" s="18" t="s">
        <v>199</v>
      </c>
      <c r="B9" s="38" t="s">
        <v>1454</v>
      </c>
      <c r="C9" s="19" t="s">
        <v>1455</v>
      </c>
      <c r="D9" s="19" t="s">
        <v>1456</v>
      </c>
      <c r="E9" s="18" t="s">
        <v>1443</v>
      </c>
      <c r="F9" s="27" t="s">
        <v>237</v>
      </c>
      <c r="G9" s="28" t="s">
        <v>238</v>
      </c>
      <c r="H9" s="18"/>
      <c r="I9" s="18" t="s">
        <v>1444</v>
      </c>
      <c r="J9" s="18" t="s">
        <v>1445</v>
      </c>
      <c r="K9" s="19"/>
    </row>
    <row r="10" spans="1:11" ht="34" customHeight="1" x14ac:dyDescent="0.35">
      <c r="A10" s="21" t="s">
        <v>1457</v>
      </c>
      <c r="B10" s="39" t="s">
        <v>1458</v>
      </c>
      <c r="C10" s="22" t="s">
        <v>1459</v>
      </c>
      <c r="D10" s="22" t="s">
        <v>52</v>
      </c>
      <c r="E10" s="21" t="s">
        <v>1443</v>
      </c>
      <c r="F10" s="31" t="s">
        <v>237</v>
      </c>
      <c r="G10" s="32" t="s">
        <v>238</v>
      </c>
      <c r="H10" s="21"/>
      <c r="I10" s="21" t="s">
        <v>1444</v>
      </c>
      <c r="J10" s="21" t="s">
        <v>1445</v>
      </c>
      <c r="K10" s="22"/>
    </row>
    <row r="11" spans="1:11" ht="34" customHeight="1" x14ac:dyDescent="0.35">
      <c r="A11" s="18" t="s">
        <v>1460</v>
      </c>
      <c r="B11" s="38" t="s">
        <v>1461</v>
      </c>
      <c r="C11" s="19" t="s">
        <v>1462</v>
      </c>
      <c r="D11" s="19" t="s">
        <v>1463</v>
      </c>
      <c r="E11" s="18" t="s">
        <v>1443</v>
      </c>
      <c r="F11" s="27" t="s">
        <v>237</v>
      </c>
      <c r="G11" s="28" t="s">
        <v>238</v>
      </c>
      <c r="H11" s="18"/>
      <c r="I11" s="18" t="s">
        <v>1444</v>
      </c>
      <c r="J11" s="18" t="s">
        <v>1445</v>
      </c>
      <c r="K11" s="19"/>
    </row>
    <row r="13" spans="1:11" ht="20" customHeight="1" x14ac:dyDescent="0.35">
      <c r="A13" s="65" t="s">
        <v>1464</v>
      </c>
      <c r="B13" s="66"/>
      <c r="C13" s="66"/>
      <c r="D13" s="66"/>
      <c r="E13" s="66"/>
      <c r="F13" s="66"/>
      <c r="G13" s="66"/>
      <c r="H13" s="66"/>
      <c r="I13" s="66"/>
      <c r="J13" s="66"/>
      <c r="K13" s="66"/>
    </row>
    <row r="14" spans="1:11" ht="24" customHeight="1" x14ac:dyDescent="0.35">
      <c r="A14" s="3" t="s">
        <v>1465</v>
      </c>
      <c r="B14" s="71" t="s">
        <v>1466</v>
      </c>
      <c r="C14" s="71"/>
      <c r="D14" s="3" t="s">
        <v>1467</v>
      </c>
      <c r="E14" s="3" t="s">
        <v>76</v>
      </c>
      <c r="F14" s="71" t="s">
        <v>1468</v>
      </c>
      <c r="G14" s="71"/>
      <c r="H14" s="71"/>
      <c r="I14" s="71"/>
      <c r="J14" s="71"/>
      <c r="K14" s="71"/>
    </row>
    <row r="15" spans="1:11" ht="34" customHeight="1" x14ac:dyDescent="0.35">
      <c r="A15" s="18">
        <v>1</v>
      </c>
      <c r="B15" s="69" t="s">
        <v>1469</v>
      </c>
      <c r="C15" s="69"/>
      <c r="D15" s="19"/>
      <c r="E15" s="18" t="s">
        <v>1443</v>
      </c>
      <c r="F15" s="69"/>
      <c r="G15" s="69"/>
      <c r="H15" s="69"/>
      <c r="I15" s="69"/>
      <c r="J15" s="69"/>
      <c r="K15" s="69"/>
    </row>
    <row r="16" spans="1:11" ht="34" customHeight="1" x14ac:dyDescent="0.35">
      <c r="A16" s="21">
        <v>2</v>
      </c>
      <c r="B16" s="70" t="s">
        <v>1470</v>
      </c>
      <c r="C16" s="70"/>
      <c r="D16" s="22" t="str">
        <f>COUNTIF($I$5:$I$11,"Accepted")&amp;" of "&amp;ROWS($I$5:$I$11)&amp;" deliverables accepted"</f>
        <v>0 of 7 deliverables accepted</v>
      </c>
      <c r="E16" s="21" t="s">
        <v>1443</v>
      </c>
      <c r="F16" s="70"/>
      <c r="G16" s="70"/>
      <c r="H16" s="70"/>
      <c r="I16" s="70"/>
      <c r="J16" s="70"/>
      <c r="K16" s="70"/>
    </row>
    <row r="17" spans="1:11" ht="34" customHeight="1" x14ac:dyDescent="0.35">
      <c r="A17" s="18">
        <v>3</v>
      </c>
      <c r="B17" s="69" t="s">
        <v>1471</v>
      </c>
      <c r="C17" s="69"/>
      <c r="D17" s="19" t="str">
        <f>SUMPRODUCT(--('Findings &amp; Remediation'!$E$5:$E$64&lt;&gt;""),--((('Findings &amp; Remediation'!$F$5:$F$64="")+('Findings &amp; Remediation'!$G$5:$G$64="")+('Findings &amp; Remediation'!$K$5:$K$64="")+('Findings &amp; Remediation'!$N$5:$N$64="")+('Findings &amp; Remediation'!$O$5:$O$64="")+('Findings &amp; Remediation'!$P$5:$P$64=""))&gt;0))&amp;" finding(s) missing evidence, impact, risk rating, recommendation, dependency or owner"</f>
        <v>0 finding(s) missing evidence, impact, risk rating, recommendation, dependency or owner</v>
      </c>
      <c r="E17" s="18" t="s">
        <v>1443</v>
      </c>
      <c r="F17" s="69"/>
      <c r="G17" s="69"/>
      <c r="H17" s="69"/>
      <c r="I17" s="69"/>
      <c r="J17" s="69"/>
      <c r="K17" s="69"/>
    </row>
    <row r="18" spans="1:11" ht="34" customHeight="1" x14ac:dyDescent="0.35">
      <c r="A18" s="21">
        <v>4</v>
      </c>
      <c r="B18" s="70" t="s">
        <v>1472</v>
      </c>
      <c r="C18" s="70"/>
      <c r="D18" s="22" t="str">
        <f>COUNTIF($J$5:$J$11,"Open")&amp;" deliverable(s) with open FAB review comments"</f>
        <v>0 deliverable(s) with open FAB review comments</v>
      </c>
      <c r="E18" s="21" t="s">
        <v>1443</v>
      </c>
      <c r="F18" s="70"/>
      <c r="G18" s="70"/>
      <c r="H18" s="70"/>
      <c r="I18" s="70"/>
      <c r="J18" s="70"/>
      <c r="K18" s="70"/>
    </row>
    <row r="19" spans="1:11" ht="34" customHeight="1" x14ac:dyDescent="0.35">
      <c r="A19" s="18">
        <v>5</v>
      </c>
      <c r="B19" s="69" t="s">
        <v>1473</v>
      </c>
      <c r="C19" s="69"/>
      <c r="D19" s="19"/>
      <c r="E19" s="18" t="s">
        <v>1443</v>
      </c>
      <c r="F19" s="69"/>
      <c r="G19" s="69"/>
      <c r="H19" s="69"/>
      <c r="I19" s="69"/>
      <c r="J19" s="69"/>
      <c r="K19" s="69"/>
    </row>
  </sheetData>
  <mergeCells count="15">
    <mergeCell ref="A1:K1"/>
    <mergeCell ref="B17:C17"/>
    <mergeCell ref="F15:K15"/>
    <mergeCell ref="A2:K2"/>
    <mergeCell ref="F17:K17"/>
    <mergeCell ref="B14:C14"/>
    <mergeCell ref="A13:K13"/>
    <mergeCell ref="B18:C18"/>
    <mergeCell ref="F19:K19"/>
    <mergeCell ref="B16:C16"/>
    <mergeCell ref="B15:C15"/>
    <mergeCell ref="F16:K16"/>
    <mergeCell ref="F14:K14"/>
    <mergeCell ref="F18:K18"/>
    <mergeCell ref="B19:C19"/>
  </mergeCells>
  <conditionalFormatting sqref="E5:E11">
    <cfRule type="expression" dxfId="23" priority="1">
      <formula>ISNUMBER(SEARCH("Accepted",E5))</formula>
    </cfRule>
    <cfRule type="expression" dxfId="22" priority="2">
      <formula>ISNUMBER(SEARCH("Rework",E5))</formula>
    </cfRule>
    <cfRule type="expression" dxfId="21" priority="3">
      <formula>ISNUMBER(SEARCH("Submitted",E5))</formula>
    </cfRule>
    <cfRule type="expression" dxfId="20" priority="4">
      <formula>ISNUMBER(SEARCH("In Progress",E5))</formula>
    </cfRule>
  </conditionalFormatting>
  <conditionalFormatting sqref="E15:E19">
    <cfRule type="expression" dxfId="19" priority="7">
      <formula>ISNUMBER(SEARCH("Complete",E15))</formula>
    </cfRule>
    <cfRule type="expression" dxfId="18" priority="8">
      <formula>ISNUMBER(SEARCH("In Progress",E15))</formula>
    </cfRule>
  </conditionalFormatting>
  <conditionalFormatting sqref="I5:I11">
    <cfRule type="expression" dxfId="17" priority="5">
      <formula>ISNUMBER(SEARCH("Accepted",I5))</formula>
    </cfRule>
    <cfRule type="expression" dxfId="16" priority="6">
      <formula>ISNUMBER(SEARCH("Rejected",I5))</formula>
    </cfRule>
  </conditionalFormatting>
  <dataValidations count="4">
    <dataValidation type="list" allowBlank="1" showErrorMessage="1" errorTitle="Invalid Entry" error="Select a value from the list." sqref="E5:E11" xr:uid="{00000000-0002-0000-0C00-000000000000}">
      <formula1>"Not Started,In Progress,Draft Submitted,Submitted for Acceptance,Accepted,Rework"</formula1>
    </dataValidation>
    <dataValidation type="list" allowBlank="1" showErrorMessage="1" errorTitle="Invalid Entry" error="Select a value from the list." sqref="I5:I11" xr:uid="{00000000-0002-0000-0C00-000001000000}">
      <formula1>"Pending,Accepted,Rejected"</formula1>
    </dataValidation>
    <dataValidation type="list" allowBlank="1" showErrorMessage="1" errorTitle="Invalid Entry" error="Select a value from the list." sqref="J5:J11" xr:uid="{00000000-0002-0000-0C00-000002000000}">
      <formula1>"None,Open,Resolved,Recorded"</formula1>
    </dataValidation>
    <dataValidation type="list" allowBlank="1" showErrorMessage="1" errorTitle="Invalid Entry" error="Select a value from the list." sqref="E15:E19" xr:uid="{00000000-0002-0000-0C00-000003000000}">
      <formula1>"Not Started,In Progress,Complete"</formula1>
    </dataValidation>
  </dataValidations>
  <pageMargins left="0.75" right="0.75" top="1" bottom="1" header="0.5" footer="0.5"/>
  <pageSetup fitToHeight="0"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B2A4A"/>
    <pageSetUpPr fitToPage="1"/>
  </sheetPr>
  <dimension ref="B1:N59"/>
  <sheetViews>
    <sheetView showGridLines="0" workbookViewId="0"/>
  </sheetViews>
  <sheetFormatPr defaultRowHeight="14.5" x14ac:dyDescent="0.35"/>
  <cols>
    <col min="1" max="1" width="3.7265625" customWidth="1"/>
    <col min="2" max="2" width="40" customWidth="1"/>
    <col min="3" max="7" width="12" customWidth="1"/>
    <col min="8" max="8" width="3.7265625" customWidth="1"/>
    <col min="9" max="9" width="52" customWidth="1"/>
    <col min="10" max="10" width="10" customWidth="1"/>
    <col min="11" max="11" width="11" customWidth="1"/>
    <col min="12" max="12" width="26" customWidth="1"/>
    <col min="13" max="13" width="3.7265625" customWidth="1"/>
    <col min="14" max="14" width="8" customWidth="1"/>
  </cols>
  <sheetData>
    <row r="1" spans="2:12" ht="34" customHeight="1" x14ac:dyDescent="0.35">
      <c r="B1" s="76" t="s">
        <v>1474</v>
      </c>
      <c r="C1" s="54"/>
      <c r="D1" s="54"/>
      <c r="E1" s="54"/>
      <c r="F1" s="54"/>
      <c r="G1" s="54"/>
      <c r="H1" s="54"/>
      <c r="I1" s="54"/>
      <c r="J1" s="54"/>
      <c r="K1" s="54"/>
      <c r="L1" s="54"/>
    </row>
    <row r="2" spans="2:12" ht="22" customHeight="1" x14ac:dyDescent="0.35">
      <c r="B2" s="64" t="s">
        <v>1475</v>
      </c>
      <c r="C2" s="54"/>
      <c r="D2" s="54"/>
      <c r="E2" s="54"/>
      <c r="F2" s="54"/>
      <c r="G2" s="54"/>
      <c r="H2" s="54"/>
      <c r="I2" s="54"/>
      <c r="J2" s="54"/>
      <c r="K2" s="54"/>
      <c r="L2" s="54"/>
    </row>
    <row r="4" spans="2:12" x14ac:dyDescent="0.35">
      <c r="B4" s="65" t="s">
        <v>1476</v>
      </c>
      <c r="C4" s="66"/>
      <c r="D4" s="66"/>
      <c r="E4" s="66"/>
      <c r="F4" s="66"/>
      <c r="G4" s="66"/>
      <c r="I4" s="65" t="s">
        <v>1477</v>
      </c>
      <c r="J4" s="66"/>
      <c r="K4" s="66"/>
      <c r="L4" s="66"/>
    </row>
    <row r="5" spans="2:12" ht="32" customHeight="1" x14ac:dyDescent="0.35">
      <c r="B5" s="3" t="s">
        <v>1478</v>
      </c>
      <c r="C5" s="3" t="s">
        <v>1479</v>
      </c>
      <c r="D5" s="3" t="s">
        <v>1480</v>
      </c>
      <c r="E5" s="3" t="s">
        <v>1481</v>
      </c>
      <c r="F5" s="3" t="s">
        <v>1482</v>
      </c>
      <c r="G5" s="3" t="s">
        <v>1483</v>
      </c>
      <c r="I5" s="3" t="s">
        <v>218</v>
      </c>
      <c r="J5" s="14" t="s">
        <v>80</v>
      </c>
      <c r="K5" s="15" t="s">
        <v>83</v>
      </c>
      <c r="L5" s="16" t="s">
        <v>86</v>
      </c>
    </row>
    <row r="6" spans="2:12" ht="22" customHeight="1" x14ac:dyDescent="0.35">
      <c r="B6" s="2" t="s">
        <v>1484</v>
      </c>
      <c r="C6" s="40" t="str">
        <f>IFERROR(AVERAGE('Architecture Review'!$G$5:$G$300),"")</f>
        <v/>
      </c>
      <c r="D6" s="6" t="str">
        <f t="shared" ref="D6:D11" si="0">IF(C6="","",IF(C6&lt;=RED_MAX,"RED",IF(C6&lt;=AMBER_MAX,"AMBER","GREEN")))</f>
        <v/>
      </c>
      <c r="E6" s="6">
        <f>COUNT('Architecture Review'!$G$5:$G$300)</f>
        <v>0</v>
      </c>
      <c r="F6" s="6">
        <f>SUMPRODUCT(--(LEFT('Architecture Review'!$A$5:$A$300,4)="ARC-"))</f>
        <v>43</v>
      </c>
      <c r="G6" s="41">
        <f t="shared" ref="G6:G11" si="1">IF(F6=0,0,E6/F6)</f>
        <v>0</v>
      </c>
      <c r="I6" s="2" t="s">
        <v>1484</v>
      </c>
      <c r="J6" s="6">
        <f>COUNTIF('Architecture Review'!$H$5:$H$300,"RED")</f>
        <v>0</v>
      </c>
      <c r="K6" s="6">
        <f>COUNTIF('Architecture Review'!$H$5:$H$300,"AMBER")</f>
        <v>0</v>
      </c>
      <c r="L6" s="6">
        <f>COUNTIF('Architecture Review'!$H$5:$H$300,"GREEN")</f>
        <v>0</v>
      </c>
    </row>
    <row r="7" spans="2:12" ht="22" customHeight="1" x14ac:dyDescent="0.35">
      <c r="B7" s="2" t="s">
        <v>1485</v>
      </c>
      <c r="C7" s="40" t="str">
        <f>IFERROR(AVERAGE('Traffic Flow Validation'!$G$5:$G$300),"")</f>
        <v/>
      </c>
      <c r="D7" s="6" t="str">
        <f t="shared" si="0"/>
        <v/>
      </c>
      <c r="E7" s="6">
        <f>COUNT('Traffic Flow Validation'!$G$5:$G$300)</f>
        <v>0</v>
      </c>
      <c r="F7" s="6">
        <f>SUMPRODUCT(--(LEFT('Traffic Flow Validation'!$A$5:$A$300,4)="TRF-"))</f>
        <v>31</v>
      </c>
      <c r="G7" s="41">
        <f t="shared" si="1"/>
        <v>0</v>
      </c>
      <c r="I7" s="2" t="s">
        <v>1485</v>
      </c>
      <c r="J7" s="6">
        <f>COUNTIF('Traffic Flow Validation'!$H$5:$H$300,"RED")</f>
        <v>0</v>
      </c>
      <c r="K7" s="6">
        <f>COUNTIF('Traffic Flow Validation'!$H$5:$H$300,"AMBER")</f>
        <v>0</v>
      </c>
      <c r="L7" s="6">
        <f>COUNTIF('Traffic Flow Validation'!$H$5:$H$300,"GREEN")</f>
        <v>0</v>
      </c>
    </row>
    <row r="8" spans="2:12" ht="22" customHeight="1" x14ac:dyDescent="0.35">
      <c r="B8" s="2" t="s">
        <v>1486</v>
      </c>
      <c r="C8" s="40" t="str">
        <f>IFERROR(AVERAGE('HA &amp; Resilience'!$G$5:$G$300),"")</f>
        <v/>
      </c>
      <c r="D8" s="6" t="str">
        <f t="shared" si="0"/>
        <v/>
      </c>
      <c r="E8" s="6">
        <f>COUNT('HA &amp; Resilience'!$G$5:$G$300)</f>
        <v>0</v>
      </c>
      <c r="F8" s="6">
        <f>SUMPRODUCT(--(LEFT('HA &amp; Resilience'!$A$5:$A$300,4)="HAR-"))</f>
        <v>29</v>
      </c>
      <c r="G8" s="41">
        <f t="shared" si="1"/>
        <v>0</v>
      </c>
      <c r="I8" s="2" t="s">
        <v>1486</v>
      </c>
      <c r="J8" s="6">
        <f>COUNTIF('HA &amp; Resilience'!$H$5:$H$300,"RED")</f>
        <v>0</v>
      </c>
      <c r="K8" s="6">
        <f>COUNTIF('HA &amp; Resilience'!$H$5:$H$300,"AMBER")</f>
        <v>0</v>
      </c>
      <c r="L8" s="6">
        <f>COUNTIF('HA &amp; Resilience'!$H$5:$H$300,"GREEN")</f>
        <v>0</v>
      </c>
    </row>
    <row r="9" spans="2:12" ht="22" customHeight="1" x14ac:dyDescent="0.35">
      <c r="B9" s="2" t="s">
        <v>1487</v>
      </c>
      <c r="C9" s="40" t="str">
        <f>IFERROR(AVERAGE('Third-Party Integration'!$G$5:$G$300),"")</f>
        <v/>
      </c>
      <c r="D9" s="6" t="str">
        <f t="shared" si="0"/>
        <v/>
      </c>
      <c r="E9" s="6">
        <f>COUNT('Third-Party Integration'!$G$5:$G$300)</f>
        <v>0</v>
      </c>
      <c r="F9" s="6">
        <f>SUMPRODUCT(--(LEFT('Third-Party Integration'!$A$5:$A$300,4)="TPI-"))</f>
        <v>29</v>
      </c>
      <c r="G9" s="41">
        <f t="shared" si="1"/>
        <v>0</v>
      </c>
      <c r="I9" s="2" t="s">
        <v>1487</v>
      </c>
      <c r="J9" s="6">
        <f>COUNTIF('Third-Party Integration'!$H$5:$H$300,"RED")</f>
        <v>0</v>
      </c>
      <c r="K9" s="6">
        <f>COUNTIF('Third-Party Integration'!$H$5:$H$300,"AMBER")</f>
        <v>0</v>
      </c>
      <c r="L9" s="6">
        <f>COUNTIF('Third-Party Integration'!$H$5:$H$300,"GREEN")</f>
        <v>0</v>
      </c>
    </row>
    <row r="10" spans="2:12" ht="22" customHeight="1" x14ac:dyDescent="0.35">
      <c r="B10" s="2" t="s">
        <v>1488</v>
      </c>
      <c r="C10" s="40" t="str">
        <f>IFERROR(AVERAGE('Migration &amp; Cutover'!$G$5:$G$300),"")</f>
        <v/>
      </c>
      <c r="D10" s="6" t="str">
        <f t="shared" si="0"/>
        <v/>
      </c>
      <c r="E10" s="6">
        <f>COUNT('Migration &amp; Cutover'!$G$5:$G$300)</f>
        <v>0</v>
      </c>
      <c r="F10" s="6">
        <f>SUMPRODUCT(--(LEFT('Migration &amp; Cutover'!$A$5:$A$300,4)="MIG-"))</f>
        <v>27</v>
      </c>
      <c r="G10" s="41">
        <f t="shared" si="1"/>
        <v>0</v>
      </c>
      <c r="I10" s="2" t="s">
        <v>1488</v>
      </c>
      <c r="J10" s="6">
        <f>COUNTIF('Migration &amp; Cutover'!$H$5:$H$300,"RED")</f>
        <v>0</v>
      </c>
      <c r="K10" s="6">
        <f>COUNTIF('Migration &amp; Cutover'!$H$5:$H$300,"AMBER")</f>
        <v>0</v>
      </c>
      <c r="L10" s="6">
        <f>COUNTIF('Migration &amp; Cutover'!$H$5:$H$300,"GREEN")</f>
        <v>0</v>
      </c>
    </row>
    <row r="11" spans="2:12" ht="22" customHeight="1" x14ac:dyDescent="0.35">
      <c r="B11" s="42" t="s">
        <v>1489</v>
      </c>
      <c r="C11" s="43" t="str">
        <f>IFERROR(AVERAGE('Architecture Review'!$G$5:$G$300,'Traffic Flow Validation'!$G$5:$G$300,'HA &amp; Resilience'!$G$5:$G$300,'Third-Party Integration'!$G$5:$G$300,'Migration &amp; Cutover'!$G$5:$G$300),"")</f>
        <v/>
      </c>
      <c r="D11" s="44" t="str">
        <f t="shared" si="0"/>
        <v/>
      </c>
      <c r="E11" s="44">
        <f>SUM(E6:E10)</f>
        <v>0</v>
      </c>
      <c r="F11" s="44">
        <f>SUM(F6:F10)</f>
        <v>159</v>
      </c>
      <c r="G11" s="45">
        <f t="shared" si="1"/>
        <v>0</v>
      </c>
      <c r="I11" s="42" t="s">
        <v>1490</v>
      </c>
      <c r="J11" s="44">
        <f>SUM(J6:J10)</f>
        <v>0</v>
      </c>
      <c r="K11" s="44">
        <f>SUM(K6:K10)</f>
        <v>0</v>
      </c>
      <c r="L11" s="44">
        <f>SUM(L6:L10)</f>
        <v>0</v>
      </c>
    </row>
    <row r="31" spans="2:14" x14ac:dyDescent="0.35">
      <c r="B31" s="65" t="s">
        <v>1491</v>
      </c>
      <c r="C31" s="66"/>
      <c r="D31" s="66"/>
      <c r="E31" s="66"/>
      <c r="F31" s="66"/>
      <c r="G31" s="66"/>
      <c r="I31" s="65" t="s">
        <v>1492</v>
      </c>
      <c r="J31" s="66"/>
      <c r="K31" s="66"/>
      <c r="L31" s="66"/>
    </row>
    <row r="32" spans="2:14" ht="30" customHeight="1" x14ac:dyDescent="0.35">
      <c r="B32" s="3" t="s">
        <v>1493</v>
      </c>
      <c r="C32" s="3" t="s">
        <v>93</v>
      </c>
      <c r="D32" s="71" t="s">
        <v>1494</v>
      </c>
      <c r="E32" s="71"/>
      <c r="F32" s="71"/>
      <c r="G32" s="71"/>
      <c r="I32" s="3" t="s">
        <v>1495</v>
      </c>
      <c r="J32" s="3" t="s">
        <v>1234</v>
      </c>
      <c r="K32" s="3" t="s">
        <v>1235</v>
      </c>
      <c r="L32" s="3" t="s">
        <v>1363</v>
      </c>
      <c r="N32" s="46" t="s">
        <v>1496</v>
      </c>
    </row>
    <row r="33" spans="2:14" ht="20" customHeight="1" x14ac:dyDescent="0.35">
      <c r="B33" s="2" t="s">
        <v>1497</v>
      </c>
      <c r="C33" s="47">
        <f>F11</f>
        <v>159</v>
      </c>
      <c r="D33" s="75" t="s">
        <v>1498</v>
      </c>
      <c r="E33" s="55"/>
      <c r="F33" s="55"/>
      <c r="G33" s="55"/>
      <c r="I33" s="19" t="str">
        <f>IF(N33="","",INDEX('Findings &amp; Remediation'!$A$5:$A$64,N33)&amp;" - "&amp;INDEX('Findings &amp; Remediation'!$E$5:$E$64,N33))</f>
        <v/>
      </c>
      <c r="J33" s="18" t="str">
        <f>IF(N33="","",INDEX('Findings &amp; Remediation'!$J$5:$J$64,N33))</f>
        <v/>
      </c>
      <c r="K33" s="18" t="str">
        <f>IF(N33="","",INDEX('Findings &amp; Remediation'!$K$5:$K$64,N33))</f>
        <v/>
      </c>
      <c r="L33" s="19" t="str">
        <f>IF(N33="","",INDEX('Findings &amp; Remediation'!$B$5:$B$64,N33))</f>
        <v/>
      </c>
      <c r="N33" s="46" t="str">
        <f>IFERROR(MATCH(LARGE('Findings &amp; Remediation'!$U$5:$U$64,1),'Findings &amp; Remediation'!$U$5:$U$64,0),"")</f>
        <v/>
      </c>
    </row>
    <row r="34" spans="2:14" ht="20" customHeight="1" x14ac:dyDescent="0.35">
      <c r="B34" s="11" t="s">
        <v>1499</v>
      </c>
      <c r="C34" s="48">
        <f>E11</f>
        <v>0</v>
      </c>
      <c r="D34" s="73"/>
      <c r="E34" s="74"/>
      <c r="F34" s="74"/>
      <c r="G34" s="74"/>
      <c r="I34" s="22" t="str">
        <f>IF(N34="","",INDEX('Findings &amp; Remediation'!$A$5:$A$64,N34)&amp;" - "&amp;INDEX('Findings &amp; Remediation'!$E$5:$E$64,N34))</f>
        <v/>
      </c>
      <c r="J34" s="21" t="str">
        <f>IF(N34="","",INDEX('Findings &amp; Remediation'!$J$5:$J$64,N34))</f>
        <v/>
      </c>
      <c r="K34" s="21" t="str">
        <f>IF(N34="","",INDEX('Findings &amp; Remediation'!$K$5:$K$64,N34))</f>
        <v/>
      </c>
      <c r="L34" s="22" t="str">
        <f>IF(N34="","",INDEX('Findings &amp; Remediation'!$B$5:$B$64,N34))</f>
        <v/>
      </c>
      <c r="N34" s="46" t="str">
        <f>IFERROR(MATCH(LARGE('Findings &amp; Remediation'!$U$5:$U$64,2),'Findings &amp; Remediation'!$U$5:$U$64,0),"")</f>
        <v/>
      </c>
    </row>
    <row r="35" spans="2:14" ht="20" customHeight="1" x14ac:dyDescent="0.35">
      <c r="B35" s="2" t="s">
        <v>1500</v>
      </c>
      <c r="C35" s="49">
        <f>G11</f>
        <v>0</v>
      </c>
      <c r="D35" s="75"/>
      <c r="E35" s="55"/>
      <c r="F35" s="55"/>
      <c r="G35" s="55"/>
      <c r="I35" s="19" t="str">
        <f>IF(N35="","",INDEX('Findings &amp; Remediation'!$A$5:$A$64,N35)&amp;" - "&amp;INDEX('Findings &amp; Remediation'!$E$5:$E$64,N35))</f>
        <v/>
      </c>
      <c r="J35" s="18" t="str">
        <f>IF(N35="","",INDEX('Findings &amp; Remediation'!$J$5:$J$64,N35))</f>
        <v/>
      </c>
      <c r="K35" s="18" t="str">
        <f>IF(N35="","",INDEX('Findings &amp; Remediation'!$K$5:$K$64,N35))</f>
        <v/>
      </c>
      <c r="L35" s="19" t="str">
        <f>IF(N35="","",INDEX('Findings &amp; Remediation'!$B$5:$B$64,N35))</f>
        <v/>
      </c>
      <c r="N35" s="46" t="str">
        <f>IFERROR(MATCH(LARGE('Findings &amp; Remediation'!$U$5:$U$64,3),'Findings &amp; Remediation'!$U$5:$U$64,0),"")</f>
        <v/>
      </c>
    </row>
    <row r="36" spans="2:14" ht="20" customHeight="1" x14ac:dyDescent="0.35">
      <c r="B36" s="11" t="s">
        <v>1501</v>
      </c>
      <c r="C36" s="50" t="str">
        <f>C11</f>
        <v/>
      </c>
      <c r="D36" s="73" t="s">
        <v>1502</v>
      </c>
      <c r="E36" s="74"/>
      <c r="F36" s="74"/>
      <c r="G36" s="74"/>
      <c r="I36" s="22" t="str">
        <f>IF(N36="","",INDEX('Findings &amp; Remediation'!$A$5:$A$64,N36)&amp;" - "&amp;INDEX('Findings &amp; Remediation'!$E$5:$E$64,N36))</f>
        <v/>
      </c>
      <c r="J36" s="21" t="str">
        <f>IF(N36="","",INDEX('Findings &amp; Remediation'!$J$5:$J$64,N36))</f>
        <v/>
      </c>
      <c r="K36" s="21" t="str">
        <f>IF(N36="","",INDEX('Findings &amp; Remediation'!$K$5:$K$64,N36))</f>
        <v/>
      </c>
      <c r="L36" s="22" t="str">
        <f>IF(N36="","",INDEX('Findings &amp; Remediation'!$B$5:$B$64,N36))</f>
        <v/>
      </c>
      <c r="N36" s="46" t="str">
        <f>IFERROR(MATCH(LARGE('Findings &amp; Remediation'!$U$5:$U$64,4),'Findings &amp; Remediation'!$U$5:$U$64,0),"")</f>
        <v/>
      </c>
    </row>
    <row r="37" spans="2:14" ht="20" customHeight="1" x14ac:dyDescent="0.35">
      <c r="B37" s="2" t="s">
        <v>1503</v>
      </c>
      <c r="C37" s="51" t="str">
        <f>D11</f>
        <v/>
      </c>
      <c r="D37" s="75"/>
      <c r="E37" s="55"/>
      <c r="F37" s="55"/>
      <c r="G37" s="55"/>
      <c r="I37" s="19" t="str">
        <f>IF(N37="","",INDEX('Findings &amp; Remediation'!$A$5:$A$64,N37)&amp;" - "&amp;INDEX('Findings &amp; Remediation'!$E$5:$E$64,N37))</f>
        <v/>
      </c>
      <c r="J37" s="18" t="str">
        <f>IF(N37="","",INDEX('Findings &amp; Remediation'!$J$5:$J$64,N37))</f>
        <v/>
      </c>
      <c r="K37" s="18" t="str">
        <f>IF(N37="","",INDEX('Findings &amp; Remediation'!$K$5:$K$64,N37))</f>
        <v/>
      </c>
      <c r="L37" s="19" t="str">
        <f>IF(N37="","",INDEX('Findings &amp; Remediation'!$B$5:$B$64,N37))</f>
        <v/>
      </c>
      <c r="N37" s="46" t="str">
        <f>IFERROR(MATCH(LARGE('Findings &amp; Remediation'!$U$5:$U$64,5),'Findings &amp; Remediation'!$U$5:$U$64,0),"")</f>
        <v/>
      </c>
    </row>
    <row r="38" spans="2:14" ht="20" customHeight="1" x14ac:dyDescent="0.35">
      <c r="B38" s="11" t="s">
        <v>1504</v>
      </c>
      <c r="C38" s="48">
        <f>SUMPRODUCT(('Architecture Review'!$H$5:$H$300="RED")*(COUNTIF('Findings &amp; Remediation'!$C$5:$C$64,'Architecture Review'!$A$5:$A$300)=0))+SUMPRODUCT(('Traffic Flow Validation'!$H$5:$H$300="RED")*(COUNTIF('Findings &amp; Remediation'!$C$5:$C$64,'Traffic Flow Validation'!$A$5:$A$300)=0))+SUMPRODUCT(('HA &amp; Resilience'!$H$5:$H$300="RED")*(COUNTIF('Findings &amp; Remediation'!$C$5:$C$64,'HA &amp; Resilience'!$A$5:$A$300)=0))+SUMPRODUCT(('Third-Party Integration'!$H$5:$H$300="RED")*(COUNTIF('Findings &amp; Remediation'!$C$5:$C$64,'Third-Party Integration'!$A$5:$A$300)=0))+SUMPRODUCT(('Migration &amp; Cutover'!$H$5:$H$300="RED")*(COUNTIF('Findings &amp; Remediation'!$C$5:$C$64,'Migration &amp; Cutover'!$A$5:$A$300)=0))</f>
        <v>0</v>
      </c>
      <c r="D38" s="73" t="s">
        <v>1505</v>
      </c>
      <c r="E38" s="74"/>
      <c r="F38" s="74"/>
      <c r="G38" s="74"/>
      <c r="I38" s="22" t="str">
        <f>IF(N38="","",INDEX('Findings &amp; Remediation'!$A$5:$A$64,N38)&amp;" - "&amp;INDEX('Findings &amp; Remediation'!$E$5:$E$64,N38))</f>
        <v/>
      </c>
      <c r="J38" s="21" t="str">
        <f>IF(N38="","",INDEX('Findings &amp; Remediation'!$J$5:$J$64,N38))</f>
        <v/>
      </c>
      <c r="K38" s="21" t="str">
        <f>IF(N38="","",INDEX('Findings &amp; Remediation'!$K$5:$K$64,N38))</f>
        <v/>
      </c>
      <c r="L38" s="22" t="str">
        <f>IF(N38="","",INDEX('Findings &amp; Remediation'!$B$5:$B$64,N38))</f>
        <v/>
      </c>
      <c r="N38" s="46" t="str">
        <f>IFERROR(MATCH(LARGE('Findings &amp; Remediation'!$U$5:$U$64,6),'Findings &amp; Remediation'!$U$5:$U$64,0),"")</f>
        <v/>
      </c>
    </row>
    <row r="39" spans="2:14" ht="20" customHeight="1" x14ac:dyDescent="0.35">
      <c r="B39" s="2" t="s">
        <v>1506</v>
      </c>
      <c r="C39" s="47">
        <f>COUNTA('Findings &amp; Remediation'!$E$5:$E$64)</f>
        <v>0</v>
      </c>
      <c r="D39" s="75" t="s">
        <v>1507</v>
      </c>
      <c r="E39" s="55"/>
      <c r="F39" s="55"/>
      <c r="G39" s="55"/>
      <c r="I39" s="19" t="str">
        <f>IF(N39="","",INDEX('Findings &amp; Remediation'!$A$5:$A$64,N39)&amp;" - "&amp;INDEX('Findings &amp; Remediation'!$E$5:$E$64,N39))</f>
        <v/>
      </c>
      <c r="J39" s="18" t="str">
        <f>IF(N39="","",INDEX('Findings &amp; Remediation'!$J$5:$J$64,N39))</f>
        <v/>
      </c>
      <c r="K39" s="18" t="str">
        <f>IF(N39="","",INDEX('Findings &amp; Remediation'!$K$5:$K$64,N39))</f>
        <v/>
      </c>
      <c r="L39" s="19" t="str">
        <f>IF(N39="","",INDEX('Findings &amp; Remediation'!$B$5:$B$64,N39))</f>
        <v/>
      </c>
      <c r="N39" s="46" t="str">
        <f>IFERROR(MATCH(LARGE('Findings &amp; Remediation'!$U$5:$U$64,7),'Findings &amp; Remediation'!$U$5:$U$64,0),"")</f>
        <v/>
      </c>
    </row>
    <row r="40" spans="2:14" ht="20" customHeight="1" x14ac:dyDescent="0.35">
      <c r="B40" s="11" t="s">
        <v>1508</v>
      </c>
      <c r="C40" s="48">
        <f>COUNTIF('Findings &amp; Remediation'!$K$5:$K$64,"Critical")</f>
        <v>0</v>
      </c>
      <c r="D40" s="73" t="s">
        <v>1509</v>
      </c>
      <c r="E40" s="74"/>
      <c r="F40" s="74"/>
      <c r="G40" s="74"/>
      <c r="I40" s="22" t="str">
        <f>IF(N40="","",INDEX('Findings &amp; Remediation'!$A$5:$A$64,N40)&amp;" - "&amp;INDEX('Findings &amp; Remediation'!$E$5:$E$64,N40))</f>
        <v/>
      </c>
      <c r="J40" s="21" t="str">
        <f>IF(N40="","",INDEX('Findings &amp; Remediation'!$J$5:$J$64,N40))</f>
        <v/>
      </c>
      <c r="K40" s="21" t="str">
        <f>IF(N40="","",INDEX('Findings &amp; Remediation'!$K$5:$K$64,N40))</f>
        <v/>
      </c>
      <c r="L40" s="22" t="str">
        <f>IF(N40="","",INDEX('Findings &amp; Remediation'!$B$5:$B$64,N40))</f>
        <v/>
      </c>
      <c r="N40" s="46" t="str">
        <f>IFERROR(MATCH(LARGE('Findings &amp; Remediation'!$U$5:$U$64,8),'Findings &amp; Remediation'!$U$5:$U$64,0),"")</f>
        <v/>
      </c>
    </row>
    <row r="41" spans="2:14" ht="20" customHeight="1" x14ac:dyDescent="0.35">
      <c r="B41" s="2" t="s">
        <v>1510</v>
      </c>
      <c r="C41" s="47">
        <f>COUNTIF('Findings &amp; Remediation'!$K$5:$K$64,"High")</f>
        <v>0</v>
      </c>
      <c r="D41" s="75"/>
      <c r="E41" s="55"/>
      <c r="F41" s="55"/>
      <c r="G41" s="55"/>
      <c r="I41" s="19" t="str">
        <f>IF(N41="","",INDEX('Findings &amp; Remediation'!$A$5:$A$64,N41)&amp;" - "&amp;INDEX('Findings &amp; Remediation'!$E$5:$E$64,N41))</f>
        <v/>
      </c>
      <c r="J41" s="18" t="str">
        <f>IF(N41="","",INDEX('Findings &amp; Remediation'!$J$5:$J$64,N41))</f>
        <v/>
      </c>
      <c r="K41" s="18" t="str">
        <f>IF(N41="","",INDEX('Findings &amp; Remediation'!$K$5:$K$64,N41))</f>
        <v/>
      </c>
      <c r="L41" s="19" t="str">
        <f>IF(N41="","",INDEX('Findings &amp; Remediation'!$B$5:$B$64,N41))</f>
        <v/>
      </c>
      <c r="N41" s="46" t="str">
        <f>IFERROR(MATCH(LARGE('Findings &amp; Remediation'!$U$5:$U$64,9),'Findings &amp; Remediation'!$U$5:$U$64,0),"")</f>
        <v/>
      </c>
    </row>
    <row r="42" spans="2:14" ht="20" customHeight="1" x14ac:dyDescent="0.35">
      <c r="B42" s="11" t="s">
        <v>1511</v>
      </c>
      <c r="C42" s="48">
        <f>COUNTIF('Findings &amp; Remediation'!$K$5:$K$64,"Medium")</f>
        <v>0</v>
      </c>
      <c r="D42" s="73"/>
      <c r="E42" s="74"/>
      <c r="F42" s="74"/>
      <c r="G42" s="74"/>
      <c r="I42" s="22" t="str">
        <f>IF(N42="","",INDEX('Findings &amp; Remediation'!$A$5:$A$64,N42)&amp;" - "&amp;INDEX('Findings &amp; Remediation'!$E$5:$E$64,N42))</f>
        <v/>
      </c>
      <c r="J42" s="21" t="str">
        <f>IF(N42="","",INDEX('Findings &amp; Remediation'!$J$5:$J$64,N42))</f>
        <v/>
      </c>
      <c r="K42" s="21" t="str">
        <f>IF(N42="","",INDEX('Findings &amp; Remediation'!$K$5:$K$64,N42))</f>
        <v/>
      </c>
      <c r="L42" s="22" t="str">
        <f>IF(N42="","",INDEX('Findings &amp; Remediation'!$B$5:$B$64,N42))</f>
        <v/>
      </c>
      <c r="N42" s="46" t="str">
        <f>IFERROR(MATCH(LARGE('Findings &amp; Remediation'!$U$5:$U$64,10),'Findings &amp; Remediation'!$U$5:$U$64,0),"")</f>
        <v/>
      </c>
    </row>
    <row r="43" spans="2:14" ht="20" customHeight="1" x14ac:dyDescent="0.35">
      <c r="B43" s="2" t="s">
        <v>1512</v>
      </c>
      <c r="C43" s="47">
        <f>COUNTIF('Findings &amp; Remediation'!$K$5:$K$64,"Low")</f>
        <v>0</v>
      </c>
      <c r="D43" s="75"/>
      <c r="E43" s="55"/>
      <c r="F43" s="55"/>
      <c r="G43" s="55"/>
    </row>
    <row r="44" spans="2:14" ht="20" customHeight="1" x14ac:dyDescent="0.35">
      <c r="B44" s="11" t="s">
        <v>1513</v>
      </c>
      <c r="C44" s="48">
        <f>COUNTIF('Findings &amp; Remediation'!$R$5:$R$64,"Open")</f>
        <v>0</v>
      </c>
      <c r="D44" s="73"/>
      <c r="E44" s="74"/>
      <c r="F44" s="74"/>
      <c r="G44" s="74"/>
    </row>
    <row r="45" spans="2:14" ht="20" customHeight="1" x14ac:dyDescent="0.35">
      <c r="B45" s="2" t="s">
        <v>1514</v>
      </c>
      <c r="C45" s="47">
        <f>COUNTIF('Findings &amp; Remediation'!$R$5:$R$64,"In Progress")</f>
        <v>0</v>
      </c>
      <c r="D45" s="75"/>
      <c r="E45" s="55"/>
      <c r="F45" s="55"/>
      <c r="G45" s="55"/>
      <c r="I45" s="65" t="s">
        <v>1515</v>
      </c>
      <c r="J45" s="66"/>
      <c r="K45" s="66"/>
      <c r="L45" s="66"/>
    </row>
    <row r="46" spans="2:14" ht="20" customHeight="1" x14ac:dyDescent="0.35">
      <c r="B46" s="11" t="s">
        <v>1516</v>
      </c>
      <c r="C46" s="48">
        <f>COUNTIF('Findings &amp; Remediation'!$R$5:$R$64,"Closed")</f>
        <v>0</v>
      </c>
      <c r="D46" s="73"/>
      <c r="E46" s="74"/>
      <c r="F46" s="74"/>
      <c r="G46" s="74"/>
      <c r="I46" s="72" t="s">
        <v>1517</v>
      </c>
      <c r="J46" s="55" t="str">
        <f>'Cover &amp; Instructions'!C7</f>
        <v>First Abu Dhabi Bank (FAB)</v>
      </c>
      <c r="K46" s="55"/>
      <c r="L46" s="55"/>
    </row>
    <row r="47" spans="2:14" ht="20" customHeight="1" x14ac:dyDescent="0.35">
      <c r="B47" s="2" t="s">
        <v>1518</v>
      </c>
      <c r="C47" s="47">
        <f>SUMPRODUCT(--('Findings &amp; Remediation'!$E$5:$E$64&lt;&gt;""),--((('Findings &amp; Remediation'!$F$5:$F$64="")+('Findings &amp; Remediation'!$G$5:$G$64="")+('Findings &amp; Remediation'!$K$5:$K$64="")+('Findings &amp; Remediation'!$N$5:$N$64="")+('Findings &amp; Remediation'!$O$5:$O$64="")+('Findings &amp; Remediation'!$P$5:$P$64=""))&gt;0))</f>
        <v>0</v>
      </c>
      <c r="D47" s="75" t="s">
        <v>1519</v>
      </c>
      <c r="E47" s="55"/>
      <c r="F47" s="55"/>
      <c r="G47" s="55"/>
      <c r="I47" s="72" t="s">
        <v>14</v>
      </c>
      <c r="J47" s="55" t="str">
        <f>'Cover &amp; Instructions'!C9</f>
        <v>[Enter SOW No.]</v>
      </c>
      <c r="K47" s="55"/>
      <c r="L47" s="55"/>
    </row>
    <row r="48" spans="2:14" ht="20" customHeight="1" x14ac:dyDescent="0.35">
      <c r="B48" s="11" t="s">
        <v>1520</v>
      </c>
      <c r="C48" s="48">
        <f>COUNTA('Integration Risk Register'!$C$5:$C$40)</f>
        <v>18</v>
      </c>
      <c r="D48" s="73" t="s">
        <v>1521</v>
      </c>
      <c r="E48" s="74"/>
      <c r="F48" s="74"/>
      <c r="G48" s="74"/>
      <c r="I48" s="72" t="s">
        <v>18</v>
      </c>
      <c r="J48" s="55" t="str">
        <f>'Cover &amp; Instructions'!C10</f>
        <v>[DD/MM/YYYY]</v>
      </c>
      <c r="K48" s="55"/>
      <c r="L48" s="55"/>
    </row>
    <row r="49" spans="2:12" ht="20" customHeight="1" x14ac:dyDescent="0.35">
      <c r="B49" s="2" t="s">
        <v>1522</v>
      </c>
      <c r="C49" s="47">
        <f>COUNTIF('Integration Risk Register'!$I$5:$I$40,"Critical")+COUNTIF('Integration Risk Register'!$I$5:$I$40,"High")</f>
        <v>0</v>
      </c>
      <c r="D49" s="75"/>
      <c r="E49" s="55"/>
      <c r="F49" s="55"/>
      <c r="G49" s="55"/>
      <c r="I49" s="72" t="s">
        <v>22</v>
      </c>
      <c r="J49" s="55" t="str">
        <f>'Cover &amp; Instructions'!C11</f>
        <v>[Enter Name]</v>
      </c>
      <c r="K49" s="55"/>
      <c r="L49" s="55"/>
    </row>
    <row r="50" spans="2:12" ht="20" customHeight="1" x14ac:dyDescent="0.35">
      <c r="B50" s="11" t="s">
        <v>1523</v>
      </c>
      <c r="C50" s="48">
        <f>COUNTA('UAT Failover Scenarios'!$B$5:$B$26)</f>
        <v>16</v>
      </c>
      <c r="D50" s="73"/>
      <c r="E50" s="74"/>
      <c r="F50" s="74"/>
      <c r="G50" s="74"/>
      <c r="I50" s="72" t="s">
        <v>30</v>
      </c>
      <c r="J50" s="55" t="str">
        <f>'Cover &amp; Instructions'!C13</f>
        <v>AWS Cloud Internet Breakout - Architecture, Traffic Flow, Resilience, Third-Party Integration, Migration &amp; Cutover</v>
      </c>
      <c r="K50" s="55"/>
      <c r="L50" s="55"/>
    </row>
    <row r="51" spans="2:12" ht="20" customHeight="1" x14ac:dyDescent="0.35">
      <c r="B51" s="2" t="s">
        <v>1524</v>
      </c>
      <c r="C51" s="47">
        <f>COUNTIF('UAT Failover Scenarios'!$J$5:$J$26,"Pass")</f>
        <v>0</v>
      </c>
      <c r="D51" s="75"/>
      <c r="E51" s="55"/>
      <c r="F51" s="55"/>
      <c r="G51" s="55"/>
      <c r="I51" s="72"/>
      <c r="J51" s="55"/>
      <c r="K51" s="55"/>
      <c r="L51" s="55"/>
    </row>
    <row r="52" spans="2:12" ht="20" customHeight="1" x14ac:dyDescent="0.35">
      <c r="B52" s="11" t="s">
        <v>1525</v>
      </c>
      <c r="C52" s="48">
        <f>COUNTIF('UAT Failover Scenarios'!$J$5:$J$26,"Fail")+COUNTIF('UAT Failover Scenarios'!$J$5:$J$26,"Blocked")</f>
        <v>0</v>
      </c>
      <c r="D52" s="73"/>
      <c r="E52" s="74"/>
      <c r="F52" s="74"/>
      <c r="G52" s="74"/>
      <c r="I52" s="72" t="s">
        <v>1526</v>
      </c>
      <c r="J52" s="55" t="s">
        <v>1527</v>
      </c>
      <c r="K52" s="55"/>
      <c r="L52" s="55"/>
    </row>
    <row r="53" spans="2:12" ht="20" customHeight="1" x14ac:dyDescent="0.35">
      <c r="B53" s="2" t="s">
        <v>1528</v>
      </c>
      <c r="C53" s="47">
        <f>COUNTA('Traffic Flow Matrix'!$C$5:$C$28)</f>
        <v>16</v>
      </c>
      <c r="D53" s="75"/>
      <c r="E53" s="55"/>
      <c r="F53" s="55"/>
      <c r="G53" s="55"/>
      <c r="I53" s="72"/>
      <c r="J53" s="55"/>
      <c r="K53" s="55"/>
      <c r="L53" s="55"/>
    </row>
    <row r="54" spans="2:12" ht="20" customHeight="1" x14ac:dyDescent="0.35">
      <c r="B54" s="11" t="s">
        <v>1529</v>
      </c>
      <c r="C54" s="48">
        <f>COUNTIF('Traffic Flow Matrix'!$J$5:$J$28,"Pass")</f>
        <v>0</v>
      </c>
      <c r="D54" s="73"/>
      <c r="E54" s="74"/>
      <c r="F54" s="74"/>
      <c r="G54" s="74"/>
      <c r="I54" s="72"/>
      <c r="J54" s="55"/>
      <c r="K54" s="55"/>
      <c r="L54" s="55"/>
    </row>
    <row r="55" spans="2:12" ht="20" customHeight="1" x14ac:dyDescent="0.35">
      <c r="B55" s="2" t="s">
        <v>1530</v>
      </c>
      <c r="C55" s="47">
        <f>COUNTIF('Traffic Flow Matrix'!$J$5:$J$28,"Fail")</f>
        <v>0</v>
      </c>
      <c r="D55" s="75"/>
      <c r="E55" s="55"/>
      <c r="F55" s="55"/>
      <c r="G55" s="55"/>
    </row>
    <row r="56" spans="2:12" ht="20" customHeight="1" x14ac:dyDescent="0.35">
      <c r="B56" s="11" t="s">
        <v>1531</v>
      </c>
      <c r="C56" s="52" t="str">
        <f>'Go-NoGo Criteria'!$C$4</f>
        <v>PENDING</v>
      </c>
      <c r="D56" s="73" t="s">
        <v>1532</v>
      </c>
      <c r="E56" s="74"/>
      <c r="F56" s="74"/>
      <c r="G56" s="74"/>
    </row>
    <row r="57" spans="2:12" ht="20" customHeight="1" x14ac:dyDescent="0.35">
      <c r="B57" s="2" t="s">
        <v>1533</v>
      </c>
      <c r="C57" s="47">
        <f>COUNTIF('Deliverables Tracker'!$I$5:$I$11,"Accepted")</f>
        <v>0</v>
      </c>
      <c r="D57" s="75" t="s">
        <v>1534</v>
      </c>
      <c r="E57" s="55"/>
      <c r="F57" s="55"/>
      <c r="G57" s="55"/>
    </row>
    <row r="59" spans="2:12" ht="44" customHeight="1" x14ac:dyDescent="0.35">
      <c r="B59" s="61" t="s">
        <v>1535</v>
      </c>
      <c r="C59" s="62"/>
      <c r="D59" s="62"/>
      <c r="E59" s="62"/>
      <c r="F59" s="62"/>
      <c r="G59" s="62"/>
      <c r="H59" s="62"/>
      <c r="I59" s="62"/>
      <c r="J59" s="62"/>
      <c r="K59" s="62"/>
      <c r="L59" s="62"/>
    </row>
  </sheetData>
  <mergeCells count="46">
    <mergeCell ref="B1:L1"/>
    <mergeCell ref="D46:G46"/>
    <mergeCell ref="I45:L45"/>
    <mergeCell ref="D40:G40"/>
    <mergeCell ref="J46:L46"/>
    <mergeCell ref="D45:G45"/>
    <mergeCell ref="D36:G36"/>
    <mergeCell ref="B4:G4"/>
    <mergeCell ref="D32:G32"/>
    <mergeCell ref="D41:G41"/>
    <mergeCell ref="B31:G31"/>
    <mergeCell ref="D43:G43"/>
    <mergeCell ref="D37:G37"/>
    <mergeCell ref="B2:L2"/>
    <mergeCell ref="J47:L47"/>
    <mergeCell ref="D34:G34"/>
    <mergeCell ref="I49"/>
    <mergeCell ref="I46"/>
    <mergeCell ref="I47"/>
    <mergeCell ref="D49:G49"/>
    <mergeCell ref="J48:L48"/>
    <mergeCell ref="D48:G48"/>
    <mergeCell ref="D47:G47"/>
    <mergeCell ref="B59:L59"/>
    <mergeCell ref="D33:G33"/>
    <mergeCell ref="D55:G55"/>
    <mergeCell ref="D42:G42"/>
    <mergeCell ref="D51:G51"/>
    <mergeCell ref="D38:G38"/>
    <mergeCell ref="D54:G54"/>
    <mergeCell ref="D35:G35"/>
    <mergeCell ref="D50:G50"/>
    <mergeCell ref="D44:G44"/>
    <mergeCell ref="D52:G52"/>
    <mergeCell ref="J52:L54"/>
    <mergeCell ref="D57:G57"/>
    <mergeCell ref="I50:I51"/>
    <mergeCell ref="D53:G53"/>
    <mergeCell ref="I52:I54"/>
    <mergeCell ref="I48"/>
    <mergeCell ref="D56:G56"/>
    <mergeCell ref="J49:L49"/>
    <mergeCell ref="D39:G39"/>
    <mergeCell ref="I4:L4"/>
    <mergeCell ref="I31:L31"/>
    <mergeCell ref="J50:L51"/>
  </mergeCells>
  <conditionalFormatting sqref="C6:C11">
    <cfRule type="expression" dxfId="15" priority="1">
      <formula>$D6="RED"</formula>
    </cfRule>
    <cfRule type="expression" dxfId="14" priority="3">
      <formula>$D6="AMBER"</formula>
    </cfRule>
    <cfRule type="expression" dxfId="13" priority="5">
      <formula>$D6="GREEN"</formula>
    </cfRule>
  </conditionalFormatting>
  <conditionalFormatting sqref="C37">
    <cfRule type="expression" dxfId="12" priority="10">
      <formula>$C$37="RED"</formula>
    </cfRule>
    <cfRule type="expression" dxfId="11" priority="11">
      <formula>$C$37="AMBER"</formula>
    </cfRule>
    <cfRule type="expression" dxfId="10" priority="12">
      <formula>$C$37="GREEN"</formula>
    </cfRule>
  </conditionalFormatting>
  <conditionalFormatting sqref="C56">
    <cfRule type="expression" dxfId="9" priority="7">
      <formula>$C$56="NO-GO"</formula>
    </cfRule>
    <cfRule type="expression" dxfId="8" priority="8">
      <formula>$C$56="PENDING"</formula>
    </cfRule>
    <cfRule type="expression" dxfId="7" priority="9">
      <formula>$C$56="GO"</formula>
    </cfRule>
  </conditionalFormatting>
  <conditionalFormatting sqref="D6:D11">
    <cfRule type="expression" dxfId="6" priority="2">
      <formula>$D6="RED"</formula>
    </cfRule>
    <cfRule type="expression" dxfId="5" priority="4">
      <formula>$D6="AMBER"</formula>
    </cfRule>
    <cfRule type="expression" dxfId="4" priority="6">
      <formula>$D6="GREEN"</formula>
    </cfRule>
  </conditionalFormatting>
  <conditionalFormatting sqref="K33:K42">
    <cfRule type="expression" dxfId="3" priority="13">
      <formula>ISNUMBER(SEARCH("Critical",K33))</formula>
    </cfRule>
    <cfRule type="expression" dxfId="2" priority="14">
      <formula>ISNUMBER(SEARCH("High",K33))</formula>
    </cfRule>
    <cfRule type="expression" dxfId="1" priority="15">
      <formula>ISNUMBER(SEARCH("Medium",K33))</formula>
    </cfRule>
    <cfRule type="expression" dxfId="0" priority="16">
      <formula>ISNUMBER(SEARCH("Low",K33))</formula>
    </cfRule>
  </conditionalFormatting>
  <pageMargins left="0.75" right="0.75" top="1" bottom="1" header="0.5" footer="0.5"/>
  <pageSetup fitToHeight="0"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17</vt:i4>
      </vt:variant>
    </vt:vector>
  </HeadingPairs>
  <TitlesOfParts>
    <vt:vector size="31" baseType="lpstr">
      <vt:lpstr>Cover &amp; Instructions</vt:lpstr>
      <vt:lpstr>SOW Traceability</vt:lpstr>
      <vt:lpstr>Architecture Review</vt:lpstr>
      <vt:lpstr>Traffic Flow Validation</vt:lpstr>
      <vt:lpstr>Traffic Flow Matrix</vt:lpstr>
      <vt:lpstr>HA &amp; Resilience</vt:lpstr>
      <vt:lpstr>UAT Failover Scenarios</vt:lpstr>
      <vt:lpstr>Third-Party Integration</vt:lpstr>
      <vt:lpstr>Migration &amp; Cutover</vt:lpstr>
      <vt:lpstr>Go-NoGo Criteria</vt:lpstr>
      <vt:lpstr>Integration Risk Register</vt:lpstr>
      <vt:lpstr>Findings &amp; Remediation</vt:lpstr>
      <vt:lpstr>Deliverables Tracker</vt:lpstr>
      <vt:lpstr>Executive Dashboard</vt:lpstr>
      <vt:lpstr>AMBER_MAX</vt:lpstr>
      <vt:lpstr>'Architecture Review'!Print_Titles</vt:lpstr>
      <vt:lpstr>'Deliverables Tracker'!Print_Titles</vt:lpstr>
      <vt:lpstr>'Findings &amp; Remediation'!Print_Titles</vt:lpstr>
      <vt:lpstr>'Go-NoGo Criteria'!Print_Titles</vt:lpstr>
      <vt:lpstr>'HA &amp; Resilience'!Print_Titles</vt:lpstr>
      <vt:lpstr>'Integration Risk Register'!Print_Titles</vt:lpstr>
      <vt:lpstr>'Migration &amp; Cutover'!Print_Titles</vt:lpstr>
      <vt:lpstr>'SOW Traceability'!Print_Titles</vt:lpstr>
      <vt:lpstr>'Third-Party Integration'!Print_Titles</vt:lpstr>
      <vt:lpstr>'Traffic Flow Matrix'!Print_Titles</vt:lpstr>
      <vt:lpstr>'Traffic Flow Validation'!Print_Titles</vt:lpstr>
      <vt:lpstr>'UAT Failover Scenarios'!Print_Titles</vt:lpstr>
      <vt:lpstr>RED_MAX</vt:lpstr>
      <vt:lpstr>RISK_CRIT</vt:lpstr>
      <vt:lpstr>RISK_HIGH</vt:lpstr>
      <vt:lpstr>RISK_MED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Pushkar Patil</cp:lastModifiedBy>
  <dcterms:created xsi:type="dcterms:W3CDTF">2026-09-25T05:39:31Z</dcterms:created>
  <dcterms:modified xsi:type="dcterms:W3CDTF">2026-09-25T05:39:45Z</dcterms:modified>
</cp:coreProperties>
</file>